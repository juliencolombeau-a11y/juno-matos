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tos" sheetId="1" r:id="rId5"/>
    <sheet state="hidden" name="NVScriptsProperties" sheetId="2" r:id="rId6"/>
    <sheet state="visible" name="domaine" sheetId="3" r:id="rId7"/>
    <sheet state="visible" name="type" sheetId="4" r:id="rId8"/>
    <sheet state="visible" name="theme" sheetId="5" r:id="rId9"/>
    <sheet state="visible" name="lieu" sheetId="6" r:id="rId10"/>
    <sheet state="visible" name="age" sheetId="7" r:id="rId11"/>
    <sheet state="visible" name="App Logins" sheetId="8" r:id="rId12"/>
    <sheet state="hidden" name="DO NOT DELETE - AutoCrat Job Se" sheetId="9" r:id="rId13"/>
  </sheets>
  <definedNames/>
  <calcPr/>
</workbook>
</file>

<file path=xl/sharedStrings.xml><?xml version="1.0" encoding="utf-8"?>
<sst xmlns="http://schemas.openxmlformats.org/spreadsheetml/2006/main" count="2606" uniqueCount="1465">
  <si>
    <t>autocratn</t>
  </si>
  <si>
    <t>id</t>
  </si>
  <si>
    <t>autocratp</t>
  </si>
  <si>
    <t>dataSheetName</t>
  </si>
  <si>
    <t>nom</t>
  </si>
  <si>
    <t>"matos"</t>
  </si>
  <si>
    <t>v</t>
  </si>
  <si>
    <t>"5.1"</t>
  </si>
  <si>
    <t>dataSheetId</t>
  </si>
  <si>
    <t>"0.0"</t>
  </si>
  <si>
    <t>d-001</t>
  </si>
  <si>
    <t>updateTime</t>
  </si>
  <si>
    <t>mathématiques</t>
  </si>
  <si>
    <t>"1.761512322053E12"</t>
  </si>
  <si>
    <t>vp</t>
  </si>
  <si>
    <t>d-002</t>
  </si>
  <si>
    <t>ssId</t>
  </si>
  <si>
    <t>français</t>
  </si>
  <si>
    <t>d-003</t>
  </si>
  <si>
    <t>découverte du monde</t>
  </si>
  <si>
    <t>d-004</t>
  </si>
  <si>
    <t>discrimination visuelle</t>
  </si>
  <si>
    <t>d-005</t>
  </si>
  <si>
    <t>"1O1ie1XK6DyijYOLCo0n7PwNlz1b44PgrYkqgLbNeYvE"</t>
  </si>
  <si>
    <t>couleurs</t>
  </si>
  <si>
    <t>domaine</t>
  </si>
  <si>
    <t>d-006</t>
  </si>
  <si>
    <t>type</t>
  </si>
  <si>
    <t>motricité fine</t>
  </si>
  <si>
    <t>d-007</t>
  </si>
  <si>
    <t>mémoire</t>
  </si>
  <si>
    <t>d-008</t>
  </si>
  <si>
    <t>langage oral</t>
  </si>
  <si>
    <t>d-009</t>
  </si>
  <si>
    <t>arts visuels</t>
  </si>
  <si>
    <t>d-010</t>
  </si>
  <si>
    <t>matériel</t>
  </si>
  <si>
    <t>d-011</t>
  </si>
  <si>
    <t>t-001</t>
  </si>
  <si>
    <t>cartes</t>
  </si>
  <si>
    <t>t-002</t>
  </si>
  <si>
    <t>dés</t>
  </si>
  <si>
    <t>t-003</t>
  </si>
  <si>
    <t>puzzle</t>
  </si>
  <si>
    <t>t-004</t>
  </si>
  <si>
    <t>imagier</t>
  </si>
  <si>
    <t>t-005</t>
  </si>
  <si>
    <t>manipulation</t>
  </si>
  <si>
    <t>t-006</t>
  </si>
  <si>
    <t>animaux familiers</t>
  </si>
  <si>
    <t>album</t>
  </si>
  <si>
    <t>theme</t>
  </si>
  <si>
    <t>t-007</t>
  </si>
  <si>
    <t>loto</t>
  </si>
  <si>
    <t>abstrait</t>
  </si>
  <si>
    <t>t-008</t>
  </si>
  <si>
    <t>ageMin</t>
  </si>
  <si>
    <t>memory</t>
  </si>
  <si>
    <t>sécurité</t>
  </si>
  <si>
    <t>nbreMin</t>
  </si>
  <si>
    <t>la chenille qui faisait des trous</t>
  </si>
  <si>
    <t>nbreMax</t>
  </si>
  <si>
    <t>alignements</t>
  </si>
  <si>
    <t>t-009</t>
  </si>
  <si>
    <t>visualisation spatiale</t>
  </si>
  <si>
    <t>imgurl</t>
  </si>
  <si>
    <t>images séquentielles</t>
  </si>
  <si>
    <t>t-010</t>
  </si>
  <si>
    <t>animaux</t>
  </si>
  <si>
    <t>imgurl_softr</t>
  </si>
  <si>
    <t>jeu de société</t>
  </si>
  <si>
    <t>ferme</t>
  </si>
  <si>
    <t>image</t>
  </si>
  <si>
    <t>le corps humain</t>
  </si>
  <si>
    <t>t-011</t>
  </si>
  <si>
    <t>dominos</t>
  </si>
  <si>
    <t>img</t>
  </si>
  <si>
    <t>couleurs et formes</t>
  </si>
  <si>
    <t>t-012</t>
  </si>
  <si>
    <t>vie quotidienne</t>
  </si>
  <si>
    <t>lieu</t>
  </si>
  <si>
    <t>modèles</t>
  </si>
  <si>
    <t>peuples du monde</t>
  </si>
  <si>
    <t>t-013</t>
  </si>
  <si>
    <t>bingo</t>
  </si>
  <si>
    <t>description</t>
  </si>
  <si>
    <t>insectes</t>
  </si>
  <si>
    <t>t-014</t>
  </si>
  <si>
    <t>nombres</t>
  </si>
  <si>
    <t>formes</t>
  </si>
  <si>
    <t>🔐 Softr Record ID</t>
  </si>
  <si>
    <t>t-015</t>
  </si>
  <si>
    <t>grandeurs</t>
  </si>
  <si>
    <t>t-016</t>
  </si>
  <si>
    <t>le petit bateau de petit ours</t>
  </si>
  <si>
    <t>boucle d'or et les 3 ours</t>
  </si>
  <si>
    <t>t-017</t>
  </si>
  <si>
    <t>moyen âge</t>
  </si>
  <si>
    <t>découverte de l'écrit</t>
  </si>
  <si>
    <t>t-018</t>
  </si>
  <si>
    <t>asie</t>
  </si>
  <si>
    <t>t-019</t>
  </si>
  <si>
    <t>formes et grandeurs</t>
  </si>
  <si>
    <t>t-020</t>
  </si>
  <si>
    <t>construction</t>
  </si>
  <si>
    <t>alphabet</t>
  </si>
  <si>
    <t>t-021</t>
  </si>
  <si>
    <t>dinosaures</t>
  </si>
  <si>
    <t>Les animaux familiers</t>
  </si>
  <si>
    <t>t-022</t>
  </si>
  <si>
    <t>t-023</t>
  </si>
  <si>
    <t>le tout petit roi</t>
  </si>
  <si>
    <t>t-024</t>
  </si>
  <si>
    <t>pirates</t>
  </si>
  <si>
    <t>t-025</t>
  </si>
  <si>
    <t>les contes traditionnels</t>
  </si>
  <si>
    <t>t-026</t>
  </si>
  <si>
    <t>princesses, raiponce</t>
  </si>
  <si>
    <t>t-027</t>
  </si>
  <si>
    <t>sorcières</t>
  </si>
  <si>
    <t>t-028</t>
  </si>
  <si>
    <t>noël</t>
  </si>
  <si>
    <t>nature</t>
  </si>
  <si>
    <t>t-029</t>
  </si>
  <si>
    <t>sciences</t>
  </si>
  <si>
    <t>t-030</t>
  </si>
  <si>
    <t>les 5 sens</t>
  </si>
  <si>
    <t>t-031</t>
  </si>
  <si>
    <t>boîte mystère</t>
  </si>
  <si>
    <t>t-032</t>
  </si>
  <si>
    <t>t-033</t>
  </si>
  <si>
    <t>t-034</t>
  </si>
  <si>
    <t>t-035</t>
  </si>
  <si>
    <t>t-036</t>
  </si>
  <si>
    <t>t-037</t>
  </si>
  <si>
    <t>t-038</t>
  </si>
  <si>
    <t>t-039</t>
  </si>
  <si>
    <t>https://drive.google.com/uc?id=11TFpQ2Fkbz7IsPaXBli1-tXIpUwc4hqk</t>
  </si>
  <si>
    <t>IMG20220812162155.jpg</t>
  </si>
  <si>
    <t>ju garage</t>
  </si>
  <si>
    <t>ju maisonnette</t>
  </si>
  <si>
    <t>NETbisscovEGFBQiYQqr5a</t>
  </si>
  <si>
    <t>ju bureau</t>
  </si>
  <si>
    <t>noémie</t>
  </si>
  <si>
    <t>Traveller memory</t>
  </si>
  <si>
    <t>a-01</t>
  </si>
  <si>
    <t>no classe</t>
  </si>
  <si>
    <t>a-02</t>
  </si>
  <si>
    <t>ju classe</t>
  </si>
  <si>
    <t>a-03</t>
  </si>
  <si>
    <t>a-04</t>
  </si>
  <si>
    <t>a-05</t>
  </si>
  <si>
    <t>a-06</t>
  </si>
  <si>
    <t>a-07</t>
  </si>
  <si>
    <t>a-08</t>
  </si>
  <si>
    <t>https://drive.google.com/uc?id=10tYQg2BbDK5QcWYCCtfqGGCs0-iOaoTR</t>
  </si>
  <si>
    <t>a-09</t>
  </si>
  <si>
    <t>a-10</t>
  </si>
  <si>
    <t>a-11</t>
  </si>
  <si>
    <t>a-12</t>
  </si>
  <si>
    <t>Time</t>
  </si>
  <si>
    <t>a-13</t>
  </si>
  <si>
    <t>Email</t>
  </si>
  <si>
    <t>a-14</t>
  </si>
  <si>
    <t>Agreed</t>
  </si>
  <si>
    <t>a-15</t>
  </si>
  <si>
    <t>a-16</t>
  </si>
  <si>
    <t>2022-08-20T15:16:43.509Z</t>
  </si>
  <si>
    <t>julien.colombeau@gmail.com</t>
  </si>
  <si>
    <t>a-17</t>
  </si>
  <si>
    <t>a-18</t>
  </si>
  <si>
    <t>2022-08-20T17:07:59.999Z</t>
  </si>
  <si>
    <t>2022-08-21T07:18:57.604Z</t>
  </si>
  <si>
    <t>mienoeferrero@gmail.com</t>
  </si>
  <si>
    <t>2022-08-28T15:53:18.206Z</t>
  </si>
  <si>
    <t>2022-08-29T21:46:27.653Z</t>
  </si>
  <si>
    <t>2022-08-30T12:42:46.882Z</t>
  </si>
  <si>
    <t>2022-09-01T15:27:05.786Z</t>
  </si>
  <si>
    <t>knowing-wine-490@anonymous.appuser.io</t>
  </si>
  <si>
    <t>2022-09-01T15:27:53.380Z</t>
  </si>
  <si>
    <t>IMG20220812162224.jpg</t>
  </si>
  <si>
    <t>YTGeAxz9WfFDzavoWk3Jck</t>
  </si>
  <si>
    <t>Aventuriers en plein air</t>
  </si>
  <si>
    <t>https://drive.google.com/uc?id=1-am2fDKsC8aGJwheVb9RSaKGQxrPLvqT</t>
  </si>
  <si>
    <t>IMG20220812162439.jpg</t>
  </si>
  <si>
    <t>NBWqC6V7PGj8CobKB9YCWt</t>
  </si>
  <si>
    <t>4 en 1 puzzle</t>
  </si>
  <si>
    <t>https://drive.google.com/uc?id=10tRPHLWU3yg3CEF2QVICZU4wmuZnUZig</t>
  </si>
  <si>
    <t>Job ID</t>
  </si>
  <si>
    <t>Job Name</t>
  </si>
  <si>
    <t>Template ID</t>
  </si>
  <si>
    <t>Data Sheet ID</t>
  </si>
  <si>
    <t>Header Row</t>
  </si>
  <si>
    <t>First Data Row</t>
  </si>
  <si>
    <t>File Name</t>
  </si>
  <si>
    <t>File Type</t>
  </si>
  <si>
    <t>Share As</t>
  </si>
  <si>
    <t>Folders</t>
  </si>
  <si>
    <t>Dynamic Folder Reference</t>
  </si>
  <si>
    <t>Conditionals</t>
  </si>
  <si>
    <t>Mode</t>
  </si>
  <si>
    <t>Append Breaks</t>
  </si>
  <si>
    <t>Tags</t>
  </si>
  <si>
    <t>Run On Time Trigger</t>
  </si>
  <si>
    <t>Time Trigger Frequency</t>
  </si>
  <si>
    <t>Run On Form Trigger</t>
  </si>
  <si>
    <t>Send Email And Share</t>
  </si>
  <si>
    <t>Email To</t>
  </si>
  <si>
    <t>IMG20220812162602.jpg</t>
  </si>
  <si>
    <t>Email CC</t>
  </si>
  <si>
    <t>Email BCC</t>
  </si>
  <si>
    <t>Email Reply To</t>
  </si>
  <si>
    <t>Fs1F6xJiBMxQqZqv7xCVWX</t>
  </si>
  <si>
    <t>Email No Reply</t>
  </si>
  <si>
    <t>Pentago</t>
  </si>
  <si>
    <t>Email Subject</t>
  </si>
  <si>
    <t>Email Body</t>
  </si>
  <si>
    <t>Prevent Resharing</t>
  </si>
  <si>
    <t>Time Trigger Timestamp</t>
  </si>
  <si>
    <t>Form Trigger Timestamp</t>
  </si>
  <si>
    <t>_1662732001720</t>
  </si>
  <si>
    <t>display</t>
  </si>
  <si>
    <t>https://drive.google.com/uc?id=1-BD-IZSd_FNWT2rhbxk-vmbLzuudh7GC</t>
  </si>
  <si>
    <t>1O1ie1XK6DyijYOLCo0n7PwNlz1b44PgrYkqgLbNeYvE</t>
  </si>
  <si>
    <t>test</t>
  </si>
  <si>
    <t>GOOG_DOC</t>
  </si>
  <si>
    <t>EDITABLE</t>
  </si>
  <si>
    <t>["1JUHrhEFr-5GomWOk_6Vw6lYWK1iYD7G6"]</t>
  </si>
  <si>
    <t>[]</t>
  </si>
  <si>
    <t>MULTIPLE_OUTPUT</t>
  </si>
  <si>
    <t>IMG20220812162738.jpg</t>
  </si>
  <si>
    <t>QoKtAry5E4fDrcMzgeZVE4</t>
  </si>
  <si>
    <t>Topominos</t>
  </si>
  <si>
    <t>https://drive.google.com/uc?id=1-hzuEN09Aq5LuFLk9XiboMJDJZN-ryl-</t>
  </si>
  <si>
    <t>IMG20220812162855.jpg</t>
  </si>
  <si>
    <t>RmqhUsiypdY1zGmsSfoFnc</t>
  </si>
  <si>
    <t>Colorino</t>
  </si>
  <si>
    <t>https://drive.google.com/uc?id=12QePk5Lemt9hEXk67oHkPNOwjXRMYif2</t>
  </si>
  <si>
    <t>IMG20220812163032.jpg</t>
  </si>
  <si>
    <t>FNmmDzTaXcz9McvxrdAbBA</t>
  </si>
  <si>
    <t>Les abeilles et le miel</t>
  </si>
  <si>
    <t>https://drive.google.com/uc?id=1-yHsLzDqpvPMBrCSWDfLY3cEsg90YyGV</t>
  </si>
  <si>
    <t>IMG20220812163215.jpg</t>
  </si>
  <si>
    <t>collecter 7 cartes miel</t>
  </si>
  <si>
    <t>KZyTzexnt4fkYbqgurmCsn</t>
  </si>
  <si>
    <t>Jeu des fourmis</t>
  </si>
  <si>
    <t>https://drive.google.com/uc?id=11SwH61xTOotF5shVfNGLGbAQgtYDEFSy</t>
  </si>
  <si>
    <t>IMG20220812163324.jpg</t>
  </si>
  <si>
    <t>VRgr4MaChRo1pBWF7rR9R3</t>
  </si>
  <si>
    <t>Memo happy farm</t>
  </si>
  <si>
    <t>https://drive.google.com/uc?id=10l_GPD6EKTiAW_XqGR_JDyFJgF70uLh_</t>
  </si>
  <si>
    <t>IMG20220812163506.jpg</t>
  </si>
  <si>
    <t>Korw7FeTk8qmdEWgSmew3e</t>
  </si>
  <si>
    <t>Loto des mains</t>
  </si>
  <si>
    <t>https://drive.google.com/uc?id=10fdoZ--36soFtFJm71mS882-hhQGvAGm</t>
  </si>
  <si>
    <t>IMG20220812163612.jpg</t>
  </si>
  <si>
    <t>7v6DNgmKnS6cA39deaCX7U</t>
  </si>
  <si>
    <t>Couleurs et formes</t>
  </si>
  <si>
    <t>https://drive.google.com/uc?id=11VDvvrIymdFiuFh-NSqLhAgJq2EWk7-p</t>
  </si>
  <si>
    <t>IMG20220812163710.jpg</t>
  </si>
  <si>
    <t>J2dxYdhWMUJjxE41haJ7Hu</t>
  </si>
  <si>
    <t>Puzzle 30 éléphant</t>
  </si>
  <si>
    <t>https://drive.google.com/uc?id=1-lT9VC-VWRT2nKCM-sXOlzekBzl6eK2m</t>
  </si>
  <si>
    <t>IMG20220812163833.jpg</t>
  </si>
  <si>
    <t>DPXGL9bEPZCnpejooJeWXc</t>
  </si>
  <si>
    <t>Dominos coccinelles</t>
  </si>
  <si>
    <t>https://drive.google.com/uc?id=10hU1spdcK219FgGNW-GzmYKRpFlQQv6_</t>
  </si>
  <si>
    <t>IMG20220812163922.jpg</t>
  </si>
  <si>
    <t>J6hcvpuxh4Vxkp5My4mFfC</t>
  </si>
  <si>
    <t>Mistigri</t>
  </si>
  <si>
    <t>https://drive.google.com/uc?id=1-xvByVRYVFhmDyzUKKJPcpvHoF1FqMMH</t>
  </si>
  <si>
    <t>IMG20220812164252.jpg</t>
  </si>
  <si>
    <t>7djXR4RwnNmuLTo1Cd4K3o</t>
  </si>
  <si>
    <t>Sons et rimes</t>
  </si>
  <si>
    <t>https://drive.google.com/uc?id=123cNwYUib0TBOr6uaM3i9qhOMF9FPg1H</t>
  </si>
  <si>
    <t>IMG20220812164312.jpg</t>
  </si>
  <si>
    <t>E72RTuEaRSJ3DtG5Ejzds2</t>
  </si>
  <si>
    <t>Puzzle poissons aimanté</t>
  </si>
  <si>
    <t>https://drive.google.com/uc?id=12XaZibnchUZLUsr4fT6A8Xg7K7Na9SW9</t>
  </si>
  <si>
    <t>IMG20220812164544.jpg</t>
  </si>
  <si>
    <t>BgHjF9vsUQ7i2TTrrkLyBA</t>
  </si>
  <si>
    <t>Puzzle 12 de la ferme</t>
  </si>
  <si>
    <t>https://drive.google.com/uc?id=112_g4s1fSr21FtnzjKDF7dj5yMIfTky_</t>
  </si>
  <si>
    <t>IMG20220812164657.jpg</t>
  </si>
  <si>
    <t>CLPgHPXFba5NUgeJoNDiGE</t>
  </si>
  <si>
    <t>Domino 2</t>
  </si>
  <si>
    <t>https://drive.google.com/uc?id=12RBHXxM3enTBw-IyFbVdqoqiHoVGrUc4</t>
  </si>
  <si>
    <t>IMG20220812164857.jpg</t>
  </si>
  <si>
    <t>C8k9zpJrHXSCh7wNPoxToF</t>
  </si>
  <si>
    <t>Puzzle 30 la cantine</t>
  </si>
  <si>
    <t>https://drive.google.com/uc?id=12LC34d5jkA9OCFr7xDTnVpbu_4jVdW5o</t>
  </si>
  <si>
    <t>IMG20220812164932.jpg</t>
  </si>
  <si>
    <t>EEu56QLe3PYDU3cUB6Fcvg</t>
  </si>
  <si>
    <t>Make your own zoo (x2)</t>
  </si>
  <si>
    <t>https://drive.google.com/uc?id=10oX_HKCXxf3p8ardSda6R7Zu05lAEzlm</t>
  </si>
  <si>
    <t>IMG20220812165247.jpg</t>
  </si>
  <si>
    <t>HykwpAUyQGYUHJtQU6rCPe</t>
  </si>
  <si>
    <t>Empreintes et traces</t>
  </si>
  <si>
    <t>https://drive.google.com/uc?id=10zSjfS30fhUWg0yl_vctbi_iu-9j4pWn</t>
  </si>
  <si>
    <t>IMG20220812165404.jpg</t>
  </si>
  <si>
    <t>Urz6q9fnokpcLNHR9iLHxk</t>
  </si>
  <si>
    <t>A table</t>
  </si>
  <si>
    <t>https://drive.google.com/uc?id=12Ndrrl82AsFzdXJt6GBFbTvn38ONeKL8</t>
  </si>
  <si>
    <t>IMG20220812170939.jpg</t>
  </si>
  <si>
    <t>KT8Mw8F6aBUPpsPbfY8GCW</t>
  </si>
  <si>
    <t>Personnal safety</t>
  </si>
  <si>
    <t>https://drive.google.com/uc?id=11NsQgA4k_0qdrdJ4Dwzeet2YOR7_IwbA</t>
  </si>
  <si>
    <t>IMG20220812171333.jpg</t>
  </si>
  <si>
    <t>XkUdCWnn11HmnMnerSv5zV</t>
  </si>
  <si>
    <t>What's wrong</t>
  </si>
  <si>
    <t>https://drive.google.com/uc?id=1-_QWuk83-rgd5Rv0uxhPkfIHuA9fVOrW</t>
  </si>
  <si>
    <t>IMG20220812171343.jpg</t>
  </si>
  <si>
    <t>MRq1qz7vr2bX1PkTmVyoQY</t>
  </si>
  <si>
    <t>Colorcards Séquences de base</t>
  </si>
  <si>
    <t>https://drive.google.com/uc?id=1-K2FHTHfnGTjVMo530AeXn_FVhFm6sHX</t>
  </si>
  <si>
    <t>IMG20220812171427.jpg</t>
  </si>
  <si>
    <t>8PhZiZWUaYtK4ouvAYfqE1</t>
  </si>
  <si>
    <t>Colorcards Histoires au quotidien</t>
  </si>
  <si>
    <t>https://drive.google.com/uc?id=1-cBLPZA2mgpvvx5sH7QTtyz1EkglMhDe</t>
  </si>
  <si>
    <t>IMG20220812171436.jpg</t>
  </si>
  <si>
    <t>KoiwQPRgjmUyjxRk62pmbp</t>
  </si>
  <si>
    <t>Colorcards Problem solving</t>
  </si>
  <si>
    <t>https://drive.google.com/uc?id=10-1ClFIuF9iaVBxQZcq50Ncrwfh59tbR</t>
  </si>
  <si>
    <t>IMG20220812171445.jpg</t>
  </si>
  <si>
    <t>5agP2LXPj2fLrRA7XRNjy8</t>
  </si>
  <si>
    <t>Why because</t>
  </si>
  <si>
    <t>https://drive.google.com/uc?id=10rny03nBtclbT8TuZs4DyylaEIHxBwmu</t>
  </si>
  <si>
    <t>IMG20220812171457.jpg</t>
  </si>
  <si>
    <t>Hva1cL51C3sFbyBSUap3cY</t>
  </si>
  <si>
    <t>Colorcards emotions</t>
  </si>
  <si>
    <t>https://drive.google.com/uc?id=1-TVfvfqfaODNollPpSkLH4JzGq8GqTc6</t>
  </si>
  <si>
    <t>IMG20220812171734.jpg</t>
  </si>
  <si>
    <t>54Zi3TYUfVSDvLRTpZbdor</t>
  </si>
  <si>
    <t>Colorcards verbes</t>
  </si>
  <si>
    <t>https://drive.google.com/uc?id=1-dGQrbsCn0FihYGSl7aSUSSGLmuievsd</t>
  </si>
  <si>
    <t>IMG20220812171949.jpg</t>
  </si>
  <si>
    <t>JJPFxW3f78ojZM3DZ8y4qm</t>
  </si>
  <si>
    <t>Colorcards prépositions</t>
  </si>
  <si>
    <t>https://drive.google.com/uc?id=1060KV3UiKU3aTeqUuGbymdlLjY57ZrkQ</t>
  </si>
  <si>
    <t>IMG20220812172029.jpg</t>
  </si>
  <si>
    <t>CNtdQhpA49HgLLMLpxdorx</t>
  </si>
  <si>
    <t>Boutons divers</t>
  </si>
  <si>
    <t>https://drive.google.com/uc?id=10wfVX5clBbDZp8PIpUsaw8qgpd7rCrb3</t>
  </si>
  <si>
    <t>IMG20220812172454.jpg</t>
  </si>
  <si>
    <t>MGzr2Ar9qzuPCCeztmHKk7</t>
  </si>
  <si>
    <t>Breloques diverses</t>
  </si>
  <si>
    <t>https://drive.google.com/uc?id=11_1SKzOzLtgAIAquH7IsUygIWPAV1DYK</t>
  </si>
  <si>
    <t>IMG20220812172517.jpg</t>
  </si>
  <si>
    <t>Rop65CU151xMosBU6CZQQ7</t>
  </si>
  <si>
    <t>Insectes géants</t>
  </si>
  <si>
    <t>https://drive.google.com/uc?id=10Oznd8VUEwEnVf4hHsYJyEYCOjXy9nEU</t>
  </si>
  <si>
    <t>IMG20220812172736.jpg</t>
  </si>
  <si>
    <t>T11A435dtxk6RVknR9uH3b</t>
  </si>
  <si>
    <t>Jeu des paires (insectes)</t>
  </si>
  <si>
    <t>https://drive.google.com/uc?id=105Gh2uvTYYkEq8VFUAn1HWNKzOZsSvIQ</t>
  </si>
  <si>
    <t>IMG20220812172925.jpg</t>
  </si>
  <si>
    <t>6Xfk7QxWrc3gyeNzhGz7s9</t>
  </si>
  <si>
    <t>Oeufs en mousse</t>
  </si>
  <si>
    <t>https://drive.google.com/uc?id=1-aCPZJdINTc49AJqAraXGCyS68ozMlvV</t>
  </si>
  <si>
    <t>IMG20220812173025.jpg</t>
  </si>
  <si>
    <t>3ViqvMUPfx53yHkPFH1X7c</t>
  </si>
  <si>
    <t>Pompons et pinces</t>
  </si>
  <si>
    <t>https://drive.google.com/uc?id=124AvHHE2GC8stkmpvQWO6ZJhQ_4CcfkH</t>
  </si>
  <si>
    <t>IMG20220812173114.jpg</t>
  </si>
  <si>
    <t>A9pKJXbUSD4n1GhH4TuzTA</t>
  </si>
  <si>
    <t>Feuilles d'automne</t>
  </si>
  <si>
    <t>https://drive.google.com/uc?id=10UaPQvWrR4JkgCIt65pDrXIrQuGH6Yvf</t>
  </si>
  <si>
    <t>IMG20220812173236.jpg</t>
  </si>
  <si>
    <t>XZZRHaDBmwukPYsZgnVAbo</t>
  </si>
  <si>
    <t>Jeu de laçage des animaux</t>
  </si>
  <si>
    <t>https://drive.google.com/uc?id=101Y4OOnUcRW0qAA_qgZImXxL0cPSJBkv</t>
  </si>
  <si>
    <t>IMG20220812173318.jpg</t>
  </si>
  <si>
    <t>ShKyFJiRaQTg6DoMqnmsgR</t>
  </si>
  <si>
    <t>Magnetic's animaux</t>
  </si>
  <si>
    <t>https://drive.google.com/uc?id=1-l4tHq_J93urIqMKPo8OZBwKCHcLpEa_</t>
  </si>
  <si>
    <t>IMG20220812173446.jpg</t>
  </si>
  <si>
    <t>R6uEUZn9qCH2VPEWVyRjHx</t>
  </si>
  <si>
    <t>Perles en bois</t>
  </si>
  <si>
    <t>https://drive.google.com/uc?id=1-9XzdzDvlLqfX_dXsYdr4VUwBI1LnHa2</t>
  </si>
  <si>
    <t>IMG20220812173621.jpg</t>
  </si>
  <si>
    <t>HVL5p8wbuGW65CKRN74Exf</t>
  </si>
  <si>
    <t>Modèles Kapla</t>
  </si>
  <si>
    <t>https://drive.google.com/uc?id=15A86c9ZuQ9hJS97HGTQt_onYlljGGKI3</t>
  </si>
  <si>
    <t>IMG20220812174235.jpg</t>
  </si>
  <si>
    <t>Er9GcFgHZdXHdySQa8VGJk</t>
  </si>
  <si>
    <t>Modèles pâte à modeler</t>
  </si>
  <si>
    <t>https://drive.google.com/uc?id=139QtWJt8IIl-Ren9bCuWfFG5rwtMckfh</t>
  </si>
  <si>
    <t>IMG20220812174259.jpg</t>
  </si>
  <si>
    <t>3BbXyFCbjtMB6oXTL4aW8e</t>
  </si>
  <si>
    <t>Dobble 0-3</t>
  </si>
  <si>
    <t>https://drive.google.com/uc?id=1-gjEvKKyS57YgR3-Rhz8dPviPBsBKP7A</t>
  </si>
  <si>
    <t>IMG20220812174316.jpg</t>
  </si>
  <si>
    <t>X2CMMTvLkoTYJ2gx9vqzAm</t>
  </si>
  <si>
    <t>Dominos géométrie</t>
  </si>
  <si>
    <t>https://drive.google.com/uc?id=11BkHKmsBryp6dOKe1dEV1NvCZ7QEIVDz</t>
  </si>
  <si>
    <t>IMG20220812174515.jpg</t>
  </si>
  <si>
    <t>CkcauKZPKHWZwnMstsZHuK</t>
  </si>
  <si>
    <t>ranger par taille (famille)</t>
  </si>
  <si>
    <t>https://drive.google.com/uc?id=1-Umn8YSFuAoEUsMx9TEkGHLZqPm3bT9s</t>
  </si>
  <si>
    <t>IMG20220812174543.jpg</t>
  </si>
  <si>
    <t>XovAS3g1zXqd4W1t5wESt5</t>
  </si>
  <si>
    <t>Dobble chenille</t>
  </si>
  <si>
    <t>https://drive.google.com/uc?id=1-wY4f4-EXGuAg_LSWiHZ5k0iNCy3b2OS</t>
  </si>
  <si>
    <t>IMG20220812174626.jpg</t>
  </si>
  <si>
    <t>BmM6nzP4LMf7U3WComH253</t>
  </si>
  <si>
    <t>Dobble insectes</t>
  </si>
  <si>
    <t>https://drive.google.com/uc?id=12VK5CpfjeLDtekKOCNX0fx3ybv6FjuPr</t>
  </si>
  <si>
    <t>IMG20220812174830.jpg</t>
  </si>
  <si>
    <t>88G2mvmUqUj3EfMjRB8ceg</t>
  </si>
  <si>
    <t>Puzzle insectes</t>
  </si>
  <si>
    <t>https://drive.google.com/uc?id=12XSk04HrMLsG9JJFnShPgrCKun4hUt9v</t>
  </si>
  <si>
    <t>IMG20220813165120.jpg</t>
  </si>
  <si>
    <t>2gVxEsYiqnZ4KQQh2qQgtN</t>
  </si>
  <si>
    <t>Je remets l'histoire dans l'ordre</t>
  </si>
  <si>
    <t>https://drive.google.com/uc?id=12IEcrndGtkHAVNP5_k6TmaO4dhsTCyKk</t>
  </si>
  <si>
    <t>IMG20220813165306.jpg</t>
  </si>
  <si>
    <t>V4wiGknqjSVBFHZDidzGaa</t>
  </si>
  <si>
    <t>Le jeu du loup</t>
  </si>
  <si>
    <t>https://drive.google.com/uc?id=137wtoZ-sWLYEvfQG2oSlDwU2GRmTVc_s</t>
  </si>
  <si>
    <t>IMG20220813165617.jpg</t>
  </si>
  <si>
    <t>LpqvPeZ9Zef8hnpXgdVetn</t>
  </si>
  <si>
    <t>Happy farm</t>
  </si>
  <si>
    <t>https://drive.google.com/uc?id=15EnVZrBverlaSeFavTOo7PVCpOrF_W9M</t>
  </si>
  <si>
    <t>IMG20220813165841.jpg</t>
  </si>
  <si>
    <t>ZF7QzApxrr4fhDcfMBKmo</t>
  </si>
  <si>
    <t>Pyramide d'animaux</t>
  </si>
  <si>
    <t>https://drive.google.com/uc?id=13nEL0nG4RssBKEaa6S76e0ePIzPSp3Vc</t>
  </si>
  <si>
    <t>IMG20220813170113.jpg</t>
  </si>
  <si>
    <t>RFaVfrT9bEg56nDtVQ27Ka</t>
  </si>
  <si>
    <t>Loto les bébés animaux</t>
  </si>
  <si>
    <t>https://drive.google.com/uc?id=14-eZM420wj56EIPPCvLwiasER7PZBbyO</t>
  </si>
  <si>
    <t>IMG20220813170641.jpg</t>
  </si>
  <si>
    <t>6X1Vygdwjhpj71jvaztb8J</t>
  </si>
  <si>
    <t>Cache-cache le loto des petits</t>
  </si>
  <si>
    <t>https://drive.google.com/uc?id=15G1r4LIe8kfAg4FMszQI69Bqi2vgAf7u</t>
  </si>
  <si>
    <t>IMG20220813171451.jpg</t>
  </si>
  <si>
    <t>QRzJ5i2L277pXrfyFDPbYR</t>
  </si>
  <si>
    <t>Memory Le petit bateau de Petit Ours</t>
  </si>
  <si>
    <t>https://drive.google.com/uc?id=140CmlHvJbQkxLrJhWqRSXVQxHEdFj5bt</t>
  </si>
  <si>
    <t>IMG20220813171725.jpg</t>
  </si>
  <si>
    <t>RxgCKUoPc6JCjfrPLtbi1y</t>
  </si>
  <si>
    <t>Labyrinthe magnétique</t>
  </si>
  <si>
    <t>https://drive.google.com/uc?id=15Bhg5dLFJp5Z0uC8xS0nfAn8yFUovO8W</t>
  </si>
  <si>
    <t>IMG20220813172052.jpg</t>
  </si>
  <si>
    <t>UZEye7nFhHTRB5Bf1ZX6wV</t>
  </si>
  <si>
    <t>Magnetic domino</t>
  </si>
  <si>
    <t>https://drive.google.com/uc?id=13pvURNGsii5Bymh92TYWlvgO5umaJKZC</t>
  </si>
  <si>
    <t>IMG20220813172259.jpg</t>
  </si>
  <si>
    <t>SSWBx24tV7iZVD47JbRGh1</t>
  </si>
  <si>
    <t>Shape puzzle by number</t>
  </si>
  <si>
    <t>https://drive.google.com/uc?id=145OfQsXje0atGbtGmjruejYTfEVPopHJ</t>
  </si>
  <si>
    <t>IMG20220813172544.jpg</t>
  </si>
  <si>
    <t>RanjcKP6UvbWnYcighdNdf</t>
  </si>
  <si>
    <t>Zoo méli-mélo</t>
  </si>
  <si>
    <t>https://drive.google.com/uc?id=13oRYX43GNDVmOLdjvku46DVLp_n4r9Ln</t>
  </si>
  <si>
    <t>IMG20220813172840.jpg</t>
  </si>
  <si>
    <t>T4K3SUguvLTVT8AfAqXcMU</t>
  </si>
  <si>
    <t>Bingo des couleurs</t>
  </si>
  <si>
    <t>https://drive.google.com/uc?id=14R1oSPOkUNRU-hKguYDhmzArj0tuhFV7</t>
  </si>
  <si>
    <t>IMG20220813173104.jpg</t>
  </si>
  <si>
    <t>WHQiUnzASZvXdg5GfHpaeA</t>
  </si>
  <si>
    <t>Boulier</t>
  </si>
  <si>
    <t>https://drive.google.com/uc?id=15ACSN8DTo9vMjC9tzDu2_y6lnFzfh-KE</t>
  </si>
  <si>
    <t>IMG20220813174232.jpg</t>
  </si>
  <si>
    <t>Q3tmozsHALUFJtZxEY3woN</t>
  </si>
  <si>
    <t>Table de Pythagore</t>
  </si>
  <si>
    <t>https://drive.google.com/uc?id=14oFw8Hv-ywLSRrmYPVnM69mgcAn3nhBy</t>
  </si>
  <si>
    <t>IMG20220813174246.jpg</t>
  </si>
  <si>
    <t>XHuPwo3LePR3GjXZqSwynw</t>
  </si>
  <si>
    <t>Tangram noir et blanc</t>
  </si>
  <si>
    <t>https://drive.google.com/uc?id=13z8YlWmOIh88QZnBxfmrOtuv3G6e-RGq</t>
  </si>
  <si>
    <t>IMG20220813174305.jpg</t>
  </si>
  <si>
    <t>SsGsqW3sAKshCXjgC4ukg</t>
  </si>
  <si>
    <t>Boites à compter de 1 à 3 (oeufs)</t>
  </si>
  <si>
    <t>https://drive.google.com/uc?id=14P8HxbkRJDYzWmIMwoFE_tXPIHQ57GBn</t>
  </si>
  <si>
    <t>IMG20220813174319.jpg</t>
  </si>
  <si>
    <t>4dm7L4tgr3RcDRf4NpzCYM</t>
  </si>
  <si>
    <t>Boulier additif Montessori</t>
  </si>
  <si>
    <t>https://drive.google.com/uc?id=14aRUIKappAqUeCIPJafYtP2dcUHTDvbh</t>
  </si>
  <si>
    <t>IMG20220813174330.jpg</t>
  </si>
  <si>
    <t>FJXCVDFuuPjnV48p6Nhcc9</t>
  </si>
  <si>
    <t>Dès standards blancs (6)</t>
  </si>
  <si>
    <t>https://drive.google.com/uc?id=13vsZFBlj36FEFyd1djE_yZAPiO3LCpe6</t>
  </si>
  <si>
    <t>IMG20220813174359.jpg</t>
  </si>
  <si>
    <t>LQXJuh6VMKz3ApmrhhN4gB</t>
  </si>
  <si>
    <t>Dès colorés XL bois (5)</t>
  </si>
  <si>
    <t>https://drive.google.com/uc?id=13SYPslj9r91mEYh1jfGJF2sUAlOXRdn8</t>
  </si>
  <si>
    <t>IMG20220813174416.jpg</t>
  </si>
  <si>
    <t>6w9KFDaYVezcaRxEcqQ4BY</t>
  </si>
  <si>
    <t>Coquetiers bois</t>
  </si>
  <si>
    <t>https://drive.google.com/uc?id=138IGg16xD32FUSuQU49dBxsaVeAAznYf</t>
  </si>
  <si>
    <t>IMG20220813174424.jpg</t>
  </si>
  <si>
    <t>RLBkK4t8hJ2LMQNtXQejiP</t>
  </si>
  <si>
    <t>Bâtons de calcul Montessori</t>
  </si>
  <si>
    <t>https://drive.google.com/uc?id=149byJnrFSlfg_n_y-VplvDE0BvwVgi80</t>
  </si>
  <si>
    <t>IMG20220813174430.jpg</t>
  </si>
  <si>
    <t>X173Y4rmeQyiWXHbLKkF3U</t>
  </si>
  <si>
    <t>Jeu de logique Montessori</t>
  </si>
  <si>
    <t>https://drive.google.com/uc?id=13HfBlTxxw8v5WEWil2HllBo60ZTcL1qk</t>
  </si>
  <si>
    <t>IMG20220813174437.jpg</t>
  </si>
  <si>
    <t>LKo78sq3Ph9EX3SdooJxuh</t>
  </si>
  <si>
    <t>Château fort à monter soi-même</t>
  </si>
  <si>
    <t>https://drive.google.com/uc?id=13XZBmTFXH5N8DYuPh9MuzWGMligds558</t>
  </si>
  <si>
    <t>IMG20220813175745.jpg</t>
  </si>
  <si>
    <t>AtZptdXRMQSLF57epA3stz</t>
  </si>
  <si>
    <t xml:space="preserve">Alphabet en bois </t>
  </si>
  <si>
    <t>https://drive.google.com/uc?id=14cpA6wBW5O0jboeDalsgtjasCi5yoL2-</t>
  </si>
  <si>
    <t>IMG20220813180258.jpg</t>
  </si>
  <si>
    <t>9D1Y4KZiJQNHUuahb9c4uj</t>
  </si>
  <si>
    <t>Dragon en bois</t>
  </si>
  <si>
    <t>Asie</t>
  </si>
  <si>
    <t>https://drive.google.com/uc?id=14QFJYVhPPWNWMBfWgAaZviOSGAemUlNy</t>
  </si>
  <si>
    <t>IMG20220813180730.jpg</t>
  </si>
  <si>
    <t>N9kTe4ryy3iUZJ12uwpvrE</t>
  </si>
  <si>
    <t>Pions en bois</t>
  </si>
  <si>
    <t>https://drive.google.com/uc?id=13wzW_DV4N1CF7SM_-eSJiKN6XCvHdiHa</t>
  </si>
  <si>
    <t>IMG20220813181012.jpg</t>
  </si>
  <si>
    <t>DywX5J5ay8ZR2nwF1Ui7UK</t>
  </si>
  <si>
    <t>Formes et grandeurs</t>
  </si>
  <si>
    <t>https://drive.google.com/uc?id=1479AS7_FoH9KMVrD_0Vxue9iGIlyaEcJ</t>
  </si>
  <si>
    <t>IMG20220813182329.jpg</t>
  </si>
  <si>
    <t>K9jE6jP4koT73iE4RvbBUn</t>
  </si>
  <si>
    <t>Croque carotte</t>
  </si>
  <si>
    <t>https://drive.google.com/uc?id=13Jjnktu_dHLIJYot0yipNyyj-RL8cMWA</t>
  </si>
  <si>
    <t>IMG20220813182422_BURST000_COVER.jpg</t>
  </si>
  <si>
    <t>MZy8XXEQpzsvHRyy7n7Tye</t>
  </si>
  <si>
    <t>Attrape-moi</t>
  </si>
  <si>
    <t>https://drive.google.com/uc?id=13e_PEqlVbtoENaqp9DSZWsCUV6dp7i_l</t>
  </si>
  <si>
    <t>IMG20220813182438.jpg</t>
  </si>
  <si>
    <t>BdiLqqNiQSWExv6HdsDd4E</t>
  </si>
  <si>
    <t>Pelleteuse bois</t>
  </si>
  <si>
    <t>https://drive.google.com/uc?id=13X9cxt3aN1IwLrAEO-QaXPkYmQobHJOX</t>
  </si>
  <si>
    <t>IMG20220813182456.jpg</t>
  </si>
  <si>
    <t>UXgwgzazcxae8YZGrzNg8P</t>
  </si>
  <si>
    <t>Kapla</t>
  </si>
  <si>
    <t>https://drive.google.com/uc?id=15y_SclEqCJYrr7_4pbmppwpd7yT529Ao</t>
  </si>
  <si>
    <t>IMG20220813182820.jpg</t>
  </si>
  <si>
    <t>TigEuH8p7gr7vkFFNragoo</t>
  </si>
  <si>
    <t>La petite ferme dominos</t>
  </si>
  <si>
    <t>https://drive.google.com/uc?id=16hY6YoHpzpE684kRWOhlUs9WmgL1YC-C</t>
  </si>
  <si>
    <t>IMG20220814180126.jpg</t>
  </si>
  <si>
    <t>DNnXSXZ3qPccqmrNgaMHD3</t>
  </si>
  <si>
    <t>Connectors (400x2boîtes)</t>
  </si>
  <si>
    <t>https://drive.google.com/uc?id=15SzOCV0Cs5YhF3ShSinB5qrHt7Nzm2wy</t>
  </si>
  <si>
    <t>IMG20220814180145.jpg</t>
  </si>
  <si>
    <t>5sFTXcKdqzxjLZXyfWQoat</t>
  </si>
  <si>
    <t>Magnetic letters (100x2 boîtes)</t>
  </si>
  <si>
    <t>https://drive.google.com/uc?id=16TxERQRArLicMSENUVoIG4AYA7miEKEH</t>
  </si>
  <si>
    <t>IMG20220814180255_BURST001.jpg</t>
  </si>
  <si>
    <t>QPJjiTrbZnud2SEi2vUA5T</t>
  </si>
  <si>
    <t>Magnetic mikados</t>
  </si>
  <si>
    <t>https://drive.google.com/uc?id=16tn6aN2MH6urt9zvtSw40aNgnfNk-mn0</t>
  </si>
  <si>
    <t>IMG20220814180412.jpg</t>
  </si>
  <si>
    <t>6AVrcvpuTcyEm2Bg6mQqGR</t>
  </si>
  <si>
    <t>Tangram bois (5)</t>
  </si>
  <si>
    <t>https://drive.google.com/uc?id=16ukrHpb6iWadRb80Edx-MlEBqT218F4E</t>
  </si>
  <si>
    <t>IMG20220814180712.jpg</t>
  </si>
  <si>
    <t>QVBqZMD4wJ9Dk7yipqEoZF</t>
  </si>
  <si>
    <t>Pentaminos bois (3)</t>
  </si>
  <si>
    <t>https://drive.google.com/uc?id=162BzdY6AgQihvv89aiJe75AVljbhcCVz</t>
  </si>
  <si>
    <t>IMG20220814180856.jpg</t>
  </si>
  <si>
    <t>8nGcuZduQenL9LC4uKW3q7</t>
  </si>
  <si>
    <t>Géomag</t>
  </si>
  <si>
    <t>https://drive.google.com/uc?id=16ohdSs5JgUKTK-2PtzMr18Hs_nOiRQ2y</t>
  </si>
  <si>
    <t>IMG20220814180859.jpg</t>
  </si>
  <si>
    <t>VfDix5yDcofEgvukS6yE4Z</t>
  </si>
  <si>
    <t>Connecteurs coaxiaux</t>
  </si>
  <si>
    <t>https://drive.google.com/uc?id=15LGvn0esrmDWMA6cDaEqd_Z_XgNfJpDF</t>
  </si>
  <si>
    <t>IMG20220814181008.jpg</t>
  </si>
  <si>
    <t>H9ubGdzNXzVFwxAVvDXkDn</t>
  </si>
  <si>
    <t>Jeux bois (train, blocs, construction)</t>
  </si>
  <si>
    <t>https://drive.google.com/uc?id=15yB_1zA_4tGv-zoI4ObWEOJPffsghC3s</t>
  </si>
  <si>
    <t>IMG20220814181054.jpg</t>
  </si>
  <si>
    <t>E6vr6v5aHbXRRzR7AHcagW</t>
  </si>
  <si>
    <t>Dinosaures plastiques</t>
  </si>
  <si>
    <t>https://drive.google.com/uc?id=15mVf4z32fr1EG3YoA0OMPHmU2ptcTxS2</t>
  </si>
  <si>
    <t>IMG20220814181300.jpg</t>
  </si>
  <si>
    <t>5wY697QRfnLtQ2TEYMhK3L</t>
  </si>
  <si>
    <t>Mandalas dinosaures</t>
  </si>
  <si>
    <t>https://drive.google.com/uc?id=16pgxjU_BU9M_p-MIWiWdU7gkS-1prA9m</t>
  </si>
  <si>
    <t>IMG20220814181749.jpg</t>
  </si>
  <si>
    <t>W2LNrBKm4vpUgX2fATegYU</t>
  </si>
  <si>
    <t>Tri couleurs dinosaures</t>
  </si>
  <si>
    <t>https://drive.google.com/uc?id=165uf1ytDAn_PJ5Fn4tphjJ9nJJWPkl3v</t>
  </si>
  <si>
    <t>IMG20220814181802.jpg</t>
  </si>
  <si>
    <t>KjQQS9yCWvZWQDUBFba94W</t>
  </si>
  <si>
    <t>Mes dinosaures magnétiques</t>
  </si>
  <si>
    <t>https://drive.google.com/uc?id=15J9JctVjITda-eZxBO-hSq8k2fBPd6Qw</t>
  </si>
  <si>
    <t>IMG20220814181807.jpg</t>
  </si>
  <si>
    <t>TBzijxM3AUb2RSFPPfWPPR</t>
  </si>
  <si>
    <t>Magazines/affiches</t>
  </si>
  <si>
    <t>https://drive.google.com/uc?id=16ak79OtomifTTsJOBRLgMKjXoynVh0Zr</t>
  </si>
  <si>
    <t>IMG20220814181850.jpg</t>
  </si>
  <si>
    <t>9pUrYeFtkLQVmD2BhstAPB</t>
  </si>
  <si>
    <t>Paniers métal (6)</t>
  </si>
  <si>
    <t>https://drive.google.com/uc?id=16tB8daDDuxHNeLiS-hS4LBylukwLBZEV</t>
  </si>
  <si>
    <t>IMG20220814182219.jpg</t>
  </si>
  <si>
    <t>Wxy8U5yCeaSmgYFQJJBpzv</t>
  </si>
  <si>
    <t>Modéles chateau</t>
  </si>
  <si>
    <t>https://drive.google.com/uc?id=15Io3QyrwS2GP_qpn7ys67yU1hPqHqyDA</t>
  </si>
  <si>
    <t>IMG20220814182639.jpg</t>
  </si>
  <si>
    <t>AFFnqfREnT97RkZsdFwgiN</t>
  </si>
  <si>
    <t>Classement tableaux</t>
  </si>
  <si>
    <t>https://drive.google.com/uc?id=16L3N2gG3EUFjzkl4bkHf_ZUMlWC5HeHc</t>
  </si>
  <si>
    <t>IMG20220814182941.jpg</t>
  </si>
  <si>
    <t>AyPmWPoRg3sWXRKrsPrg8a</t>
  </si>
  <si>
    <t>Modèles dessin pas à pas</t>
  </si>
  <si>
    <t>https://drive.google.com/uc?id=15qcPuxe2f3Mp0449lyZWTJtwp3xfrkui</t>
  </si>
  <si>
    <t>IMG20220814183026.jpg</t>
  </si>
  <si>
    <t>HVv3rchY3jyxNrHMZ9E4J1</t>
  </si>
  <si>
    <t>Loto mémo roi et reines</t>
  </si>
  <si>
    <t>https://drive.google.com/uc?id=15q6IDUs1pnV_3bYF5Y6BqzOvbB4GLNm3</t>
  </si>
  <si>
    <t>IMG20220814183229.jpg</t>
  </si>
  <si>
    <t>MLHvCLZduCK6vbGTj5sMDK</t>
  </si>
  <si>
    <t>Chevaliers et pistes</t>
  </si>
  <si>
    <t>https://drive.google.com/uc?id=168rYn7djWyKyi7N3ZVVaPmEiRdQOG-IN</t>
  </si>
  <si>
    <t>IMG20220814183326.jpg</t>
  </si>
  <si>
    <t>8tgvkVAc74aob65eWwviCY</t>
  </si>
  <si>
    <t>Filet marin</t>
  </si>
  <si>
    <t>https://drive.google.com/uc?id=16EUytuXhWltg8F3KQCCbHpmFBYGdki2L</t>
  </si>
  <si>
    <t>IMG20220814183456.jpg</t>
  </si>
  <si>
    <t>EiZkStYuhBYKoGufA9Tgsa</t>
  </si>
  <si>
    <t>Schtroumpfs pirates</t>
  </si>
  <si>
    <t>https://drive.google.com/uc?id=167ouKJ03I0G08ZeAaoBKfevQNIPkqVWL</t>
  </si>
  <si>
    <t>IMG20220814183847.jpg</t>
  </si>
  <si>
    <t>REeqapUYjNz2aTATijQfEC</t>
  </si>
  <si>
    <t>Mémory pirates</t>
  </si>
  <si>
    <t>https://drive.google.com/uc?id=16-yMzYxzVupdOKFCcCfopQkIMlbY0IxP</t>
  </si>
  <si>
    <t>IMG20220814183855.jpg</t>
  </si>
  <si>
    <t>JUorfMKQy6J8pH61p83McA</t>
  </si>
  <si>
    <t>Mémory imagier</t>
  </si>
  <si>
    <t>https://drive.google.com/uc?id=15rBWMEkdc7rkIQpSq2lDZME6x4sXKAPY</t>
  </si>
  <si>
    <t>IMG20220814183942.jpg</t>
  </si>
  <si>
    <t>Da3piGsQr2tcAhLHAFfrgo</t>
  </si>
  <si>
    <t>Chasse au trésor</t>
  </si>
  <si>
    <t>https://drive.google.com/uc?id=15oTl1gfnEqpSTNVXclIQzNXipQuG7LhO</t>
  </si>
  <si>
    <t>IMG20220814184030.jpg</t>
  </si>
  <si>
    <t>R5XNZhCPJyqS65vd5wLJPH</t>
  </si>
  <si>
    <t>Livre puzzle (5)</t>
  </si>
  <si>
    <t>https://drive.google.com/uc?id=15ShuG0CpZCZ3EkhXla3kqq7BxAfmUwpK</t>
  </si>
  <si>
    <t>IMG20220814184049.jpg</t>
  </si>
  <si>
    <t>A9c8z3Q53TZ2AqdbVwwi1P</t>
  </si>
  <si>
    <t>chasse au trésor (fiches)</t>
  </si>
  <si>
    <t>https://drive.google.com/uc?id=16s8wsn0t9h0t7oUkQitCWSgjMSDO2sWF</t>
  </si>
  <si>
    <t>IMG20220814184109.jpg</t>
  </si>
  <si>
    <t>NQRT499MdacTuFCZaobdHS</t>
  </si>
  <si>
    <t>Match-it Food</t>
  </si>
  <si>
    <t>https://drive.google.com/uc?id=1DSReNxr6NL0fd_JFai7HIW7WfK1yF6vV</t>
  </si>
  <si>
    <t>IMG_20220821_131016.jpg</t>
  </si>
  <si>
    <t>T9KKfnNgwvu2hp5KzhpASw</t>
  </si>
  <si>
    <t>Match-it Sport</t>
  </si>
  <si>
    <t>https://drive.google.com/uc?id=1EBRhj-d7UqzS7ngds3CmsEcxsKFV3_7x</t>
  </si>
  <si>
    <t>IMG_20220821_131022.jpg</t>
  </si>
  <si>
    <t>QAKd2pE4pTmymFeU439XgA</t>
  </si>
  <si>
    <t>Match-it Farm</t>
  </si>
  <si>
    <t>https://drive.google.com/uc?id=1EFtSVWClaE5uAkUzlz8ClYEuWdNxMsIY</t>
  </si>
  <si>
    <t>IMG_20220821_131027.jpg</t>
  </si>
  <si>
    <t>KLdrc6bJdayvH7Zf6iUj2A</t>
  </si>
  <si>
    <t>Pict it Kids</t>
  </si>
  <si>
    <t>https://drive.google.com/uc?id=1EQVYje4PvIyJgJIc08pWcCPr7i5wUPLg</t>
  </si>
  <si>
    <t>IMG_20220821_131032.jpg</t>
  </si>
  <si>
    <t>vous voyez, vous faites deviner</t>
  </si>
  <si>
    <t>S93Fv5uFH3fo6b5LrjbuWA</t>
  </si>
  <si>
    <t>Jeu des jumeaux</t>
  </si>
  <si>
    <t>https://drive.google.com/uc?id=1DeSBY9yBNt8URW2CDpUygmLr9eykokfO</t>
  </si>
  <si>
    <t>IMG_20220821_131040.jpg</t>
  </si>
  <si>
    <t>dobble rapidité observation</t>
  </si>
  <si>
    <t>EXsGbL13AjdSqLLgTMfEwF</t>
  </si>
  <si>
    <t>UNO</t>
  </si>
  <si>
    <t>https://drive.google.com/uc?id=1DnYHmgcruCcYpHQxZd4UM0zxsMOMxZgt</t>
  </si>
  <si>
    <t>IMG_20220821_132211.jpg</t>
  </si>
  <si>
    <t>X2o52xgx5EhNdtfQoyR1iR</t>
  </si>
  <si>
    <t>Jeu écureuils / glands</t>
  </si>
  <si>
    <t>https://drive.google.com/uc?id=1Dp0iR1qkn8hZ49l7Pa6zIXeQOV7KnBkS</t>
  </si>
  <si>
    <t>IMG_20220821_132217.jpg</t>
  </si>
  <si>
    <t>CPrdSZb8owcQzZNn2Ru5QT</t>
  </si>
  <si>
    <t>Jeu tri écureuils feutrine</t>
  </si>
  <si>
    <t>https://drive.google.com/uc?id=1EV7xYAW3Lx6lYOD4FPEBkLbnt0MF3ksZ</t>
  </si>
  <si>
    <t>IMG_20220821_132221.jpg</t>
  </si>
  <si>
    <t>DyRXqKogqBgVBXtDzMuckR</t>
  </si>
  <si>
    <t>Jeu de la soupe aux frites</t>
  </si>
  <si>
    <t>https://drive.google.com/uc?id=1DgcXu9UtPKueGyCIY_0P2-grxEZjCrJq</t>
  </si>
  <si>
    <t>IMG_20220821_133015.jpg</t>
  </si>
  <si>
    <t>Album La soupe aux frites</t>
  </si>
  <si>
    <t>Fy8oMUYeHwEwLzkiACDdVQ</t>
  </si>
  <si>
    <t xml:space="preserve">Jeu de tri des feuilles d'automne </t>
  </si>
  <si>
    <t>https://drive.google.com/uc?id=1DWzC1baRZL3kiFXtGDEmVyORn7SGi6en</t>
  </si>
  <si>
    <t>IMG_20220821_133130.jpg</t>
  </si>
  <si>
    <t>Album Emillie et les feuilles mortes</t>
  </si>
  <si>
    <t>Rfg9XktqP4ajVFvk6HTfLg</t>
  </si>
  <si>
    <t>Jeu "je mangerais bien un enfant"</t>
  </si>
  <si>
    <t>https://drive.google.com/uc?id=1EQ7If8sZmws9ACnuNhPo_7z6mZI2ZblV</t>
  </si>
  <si>
    <t>IMG_20220821_133837.jpg</t>
  </si>
  <si>
    <t>Album Je mangerais bien un enfant</t>
  </si>
  <si>
    <t>Unh6xsCWfpAjtJJBRPVshA</t>
  </si>
  <si>
    <t>Animal Cube Puzzle (16 pièces)</t>
  </si>
  <si>
    <t>https://drive.google.com/uc?id=1ESrFCA3xnGwgexEiPGFskqXXDB26Zfp0</t>
  </si>
  <si>
    <t>IMG_20220821_134655.jpg</t>
  </si>
  <si>
    <t>WCNc6BTnWm38J2HEQGHtaY</t>
  </si>
  <si>
    <t>Number Jumble chiffres-à-brac</t>
  </si>
  <si>
    <t>https://drive.google.com/uc?id=1E1joos-Wu5HqzT7t1n_qbEkckz5bJ1bI</t>
  </si>
  <si>
    <t>IMG_20220821_134708.jpg</t>
  </si>
  <si>
    <t>cHJfgudCWS1NujCRCm947</t>
  </si>
  <si>
    <t>Peppa Pig Catch the cards</t>
  </si>
  <si>
    <t>https://drive.google.com/uc?id=1EYcBHZIN8L61kfXk2OwiS22nRjAE_MKu</t>
  </si>
  <si>
    <t>IMG_20220821_134714.jpg</t>
  </si>
  <si>
    <t>TKozzL4mcbCTN8gr3cZPj8</t>
  </si>
  <si>
    <t>Emile Jeu de 7 familles les gestes écologiques</t>
  </si>
  <si>
    <t>https://drive.google.com/uc?id=1Ec0aXSoFuW1L2V9KjmPSKiwwFnTx35rm</t>
  </si>
  <si>
    <t>IMG_20220821_134731.jpg</t>
  </si>
  <si>
    <t>DyyCqeZZms9dJznFhawN3z</t>
  </si>
  <si>
    <t>BioViva Enigmes Fruits et légumes</t>
  </si>
  <si>
    <t>https://drive.google.com/uc?id=1DT_6VKdXkHCOUhBaBVIV-qW8bdchyC0X</t>
  </si>
  <si>
    <t>IMG_20220821_134739.jpg</t>
  </si>
  <si>
    <t>JBFDAyGU5sv13Jxf5m6PST</t>
  </si>
  <si>
    <t>BioViva Enigmes Nature</t>
  </si>
  <si>
    <t>https://drive.google.com/uc?id=1DT-Dg2ikstvM4tq5E1jIpEKnXKJEt7Ao</t>
  </si>
  <si>
    <t>IMG_20220821_134744.jpg</t>
  </si>
  <si>
    <t>Vy6EcsLL83jSHXeDAseTNg</t>
  </si>
  <si>
    <t>Familou Jeu de 7 familles coopératif</t>
  </si>
  <si>
    <t>https://drive.google.com/uc?id=1DuTgLoioN5nb0HyrbyESOQnGhYeq2UvS</t>
  </si>
  <si>
    <t>IMG_20220821_134756.jpg</t>
  </si>
  <si>
    <t>QTie8bgFYDLMSzggjbinoY</t>
  </si>
  <si>
    <t>Piou Piou Jeu de stratégie</t>
  </si>
  <si>
    <t>https://drive.google.com/uc?id=1EZ5qvqURMbAP-gdwCvQ5nFSIVZ7fl2rF</t>
  </si>
  <si>
    <t>IMG_20220821_134802.jpg</t>
  </si>
  <si>
    <t>Dcn4FBefReYcmMt6rCJAD6</t>
  </si>
  <si>
    <t>Pouet Pouet Jeu de bruits et de mimes</t>
  </si>
  <si>
    <t>https://drive.google.com/uc?id=1Emj1BgJDzamF5HvvbHqJGJIDUIJBy3DC</t>
  </si>
  <si>
    <t>IMG_20220821_134814.jpg</t>
  </si>
  <si>
    <t>PtnjiRnSm1meCez12UYUWd</t>
  </si>
  <si>
    <t>Mémo Il était une fois... Les contes traditionnels</t>
  </si>
  <si>
    <t>https://drive.google.com/uc?id=1EkJBFuLH5WdUXawba8cUsQEjxpUS6ekK</t>
  </si>
  <si>
    <t>IMG_20220821_134826.jpg</t>
  </si>
  <si>
    <t>Q8firUGfmTYGXXu8L5disF</t>
  </si>
  <si>
    <t>Sio Mosaic</t>
  </si>
  <si>
    <t>https://drive.google.com/uc?id=1EhIpnMMilUT8c0h1UUika1p2mPaY8SeU</t>
  </si>
  <si>
    <t>IMG_20220821_142158.jpg</t>
  </si>
  <si>
    <t>kSGLkJUaQuE1cnQ6kEGtz</t>
  </si>
  <si>
    <t>Loto des oiseaux</t>
  </si>
  <si>
    <t>https://drive.google.com/uc?id=1F9NzSME3O7Z8ALb0Vbc6KO_F6r3SbJ_N</t>
  </si>
  <si>
    <t>IMG_20220821_142333.jpg</t>
  </si>
  <si>
    <t>WSqvRUBbojbREgsskvAc4G</t>
  </si>
  <si>
    <t>Quel est ce bruit?</t>
  </si>
  <si>
    <t>https://drive.google.com/uc?id=1F6-8zHcq2wjOkgsVfZPV7GNpCHab2EPN</t>
  </si>
  <si>
    <t>IMG_20220821_142406.jpg</t>
  </si>
  <si>
    <t>3PoST8xHQ4RK4r52ZCXvW8</t>
  </si>
  <si>
    <t xml:space="preserve">Table lumineuse et images </t>
  </si>
  <si>
    <t>https://drive.google.com/uc?id=1F11M6ogafq2wWSNOirc3h4o0uu1Y9X-S</t>
  </si>
  <si>
    <t>IMG_20220821_142422.jpg</t>
  </si>
  <si>
    <t>AbggyWbcZ6jX3BY9AVLKPk</t>
  </si>
  <si>
    <t>Puzzle XXL Comme des bêtes (100 pièces)</t>
  </si>
  <si>
    <t>https://drive.google.com/uc?id=1EttLjINyeYrEY_nFS0WTrp2l1X0qdc3j</t>
  </si>
  <si>
    <t>IMG_20220821_142445.jpg</t>
  </si>
  <si>
    <t>LQP9kUVKydFNodV1T9dek</t>
  </si>
  <si>
    <t>Puzzle Raiponce (60 pièces)</t>
  </si>
  <si>
    <t>princesses, Raiponce</t>
  </si>
  <si>
    <t>https://drive.google.com/uc?id=1Ett2RuVFUtqtL6Fbnd8nvkP_KC268dCA</t>
  </si>
  <si>
    <t>IMG_20220821_142523.jpg</t>
  </si>
  <si>
    <t>jHvYnVv23E9C3LKWRk7KN</t>
  </si>
  <si>
    <t>Puzzle Rapunzel Raiponce ( 100 pièces)</t>
  </si>
  <si>
    <t>https://drive.google.com/uc?id=1FXYTirph-7GQ-Zki0_WSEeDEtkHpyvyW</t>
  </si>
  <si>
    <t>IMG_20220821_142540.jpg</t>
  </si>
  <si>
    <t>8Ws3yzemXNaeTH4hWpwuYe</t>
  </si>
  <si>
    <t>Puzzle Raiponce (200 pièces)</t>
  </si>
  <si>
    <t>https://drive.google.com/uc?id=1FLjaqLQVerhLZ9I6nQTZv-xV28e_I2zw</t>
  </si>
  <si>
    <t>IMG_20220821_142552.jpg</t>
  </si>
  <si>
    <t>PtBeUYWRwKjvWbRRDu9k8Q</t>
  </si>
  <si>
    <t>Witchcrafts Les sorcières !</t>
  </si>
  <si>
    <t>https://drive.google.com/uc?id=1FLeAVwJvNqD_gnoYdC27E-WBAUWmaFl1</t>
  </si>
  <si>
    <t>IMG_20220821_142604.jpg</t>
  </si>
  <si>
    <t>GcEWiq2DjFtvh9jZrLbE49</t>
  </si>
  <si>
    <t>Dominos triangulaires XL</t>
  </si>
  <si>
    <t>https://drive.google.com/uc?id=1FHF8wgz_Ga2qTBjc7XrCH03HnhuL_t3V</t>
  </si>
  <si>
    <t>IMG_20220821_142616.jpg</t>
  </si>
  <si>
    <t>Rmc1mnscZNg2NMpozXqbE1</t>
  </si>
  <si>
    <t xml:space="preserve">Matriochkas </t>
  </si>
  <si>
    <t>https://drive.google.com/uc?id=1FEHkgTSCEYgovYNuis_9ljHLWI0379kV</t>
  </si>
  <si>
    <t>IMG_20220821_152545.jpg</t>
  </si>
  <si>
    <t>Albums : Matriochkas / Olga la petite matriockas (premiers romans) Rappel : on a 2 cadres Matriochkas pr travailler les ordres de grandeur (petit/grand)</t>
  </si>
  <si>
    <t>V7cpbH5JFX7k6GuzJ3eT9g</t>
  </si>
  <si>
    <t>Trésors de pirates ! (3 sachets)</t>
  </si>
  <si>
    <t>https://drive.google.com/uc?id=1FDRPHYjXEgoxss6AS36OJ3wFMXGY6-Zq</t>
  </si>
  <si>
    <t>IMG_20220821_154725.jpg</t>
  </si>
  <si>
    <t>boutons faux bijoux Secours pop</t>
  </si>
  <si>
    <t>AGbPrgHXuvtVhKCtBazaRe</t>
  </si>
  <si>
    <t>Tri de boutons par couleurs (3)</t>
  </si>
  <si>
    <t>https://drive.google.com/uc?id=1FluZuIhEkZq4-J2O9k-xSHlIpv6iMSwq</t>
  </si>
  <si>
    <t>IMG_20220821_154732.jpg</t>
  </si>
  <si>
    <t>boutons (bleu bordeaux vert)</t>
  </si>
  <si>
    <t>DTWpWNqVNgDhFpRWLvD8DM</t>
  </si>
  <si>
    <t>Tri de boutons par motifs</t>
  </si>
  <si>
    <t>https://drive.google.com/uc?id=1FdXV64jsEdR0YpPMh7bNrmK7rhK5G1xM</t>
  </si>
  <si>
    <t>IMG_20220821_155329.jpg</t>
  </si>
  <si>
    <t>boutons (zebre tigre fleur cercles concentriques</t>
  </si>
  <si>
    <t>DBN4281hyHDbzz5NYmDBwk</t>
  </si>
  <si>
    <t>introduction couleurs sur boutons</t>
  </si>
  <si>
    <t>https://drive.google.com/uc?id=1FbPIV10PfsWzHa2ft1zTJ2C48BFz7-Wg</t>
  </si>
  <si>
    <t>IMG_20220821_155448.jpg</t>
  </si>
  <si>
    <t>boutons 1 exemplaire de chaque couleur</t>
  </si>
  <si>
    <t>3nS78u8rkuzRrFGuM8yT7y</t>
  </si>
  <si>
    <t>valisette cuir marron</t>
  </si>
  <si>
    <t>https://drive.google.com/uc?id=1FbNnuJ1dw1toLyFhgrxhNZDGxfAz5rj6</t>
  </si>
  <si>
    <t>IMG_20220821_155553.jpg</t>
  </si>
  <si>
    <t>pr ranger les boutons</t>
  </si>
  <si>
    <t>GtQQ8jpAUKpRdPeYUM6cbk</t>
  </si>
  <si>
    <t>3D Dominoes Brain Skillz</t>
  </si>
  <si>
    <t>https://drive.google.com/uc?id=1F_GSqiPRXK1Xlsp5KU_ArhalZBguinsY</t>
  </si>
  <si>
    <t>IMG_20220821_155655.jpg</t>
  </si>
  <si>
    <t>5yunkhfh24tiH7ZZe2cqtG</t>
  </si>
  <si>
    <t>Triominos (The original... De luxe)</t>
  </si>
  <si>
    <t>https://drive.google.com/uc?id=1FmeZyOPwHk0ZBU60UAurGluUYJjrIFUS</t>
  </si>
  <si>
    <t>IMG_20220821_155945.jpg</t>
  </si>
  <si>
    <t>RCcFCLJ5FnqCPS2pYKVVq5</t>
  </si>
  <si>
    <t>Les deux font la paire Un jeu de mémo-photographique</t>
  </si>
  <si>
    <t>https://drive.google.com/uc?id=1FoyPp9afjdKFD6gTgidQzf7TDo1omgjd</t>
  </si>
  <si>
    <t>IMG_20220821_160213.jpg</t>
  </si>
  <si>
    <t>Jeu d'association de photomatons, 24 paires de portraits pris il y a plusieurs décennies. Les modèles ont légèrement bougé entre chaque pose... Qui réussira à reconstituer les paires en premier?</t>
  </si>
  <si>
    <t>EjfDnx4aGmytsptZHVGGz1</t>
  </si>
  <si>
    <t>2 jeux classiques de 54 cartes Autour du monde !</t>
  </si>
  <si>
    <t>https://drive.google.com/uc?id=17DU2aXHhl07bL7jqhcqabl2yUN4v71v2</t>
  </si>
  <si>
    <t>IMG_20220821_160417.jpg</t>
  </si>
  <si>
    <t>NB un jeu se trouve dans la caisse Afrique ou Asie !!!</t>
  </si>
  <si>
    <t>Bdi2xTQyEMBB7oPW6r8c6T</t>
  </si>
  <si>
    <t>Pin art sculpture</t>
  </si>
  <si>
    <t>https://drive.google.com/uc?id=178p91u25MB0o-1S2LCCZwb9paz_pka5A</t>
  </si>
  <si>
    <t>IMG_20220821_160511.jpg</t>
  </si>
  <si>
    <t>HYpjn2myACQhWm6xNdgGdB</t>
  </si>
  <si>
    <t>Personnages L'étrange Noël de M. Jack</t>
  </si>
  <si>
    <t>Noël</t>
  </si>
  <si>
    <t>https://drive.google.com/uc?id=176RswEuIMQ27o-Mw6GDhEpYwJTEMu8ed</t>
  </si>
  <si>
    <t>IMG_20220821_164034.jpg</t>
  </si>
  <si>
    <t>Pr réexploiter ou introduire film de Tim Burton Noël/Halloween</t>
  </si>
  <si>
    <t>D4eeGVMwA4KgfqTG3kfvCX</t>
  </si>
  <si>
    <t>Billes (pr tri couleurs ou motricité)</t>
  </si>
  <si>
    <t>https://drive.google.com/uc?id=173e6RUqO87t1Y0QHK1JxLxBErpPI7WEh</t>
  </si>
  <si>
    <t>IMG_20220821_165446.jpg</t>
  </si>
  <si>
    <t>XPYewyLTq6eBmgUHssXzUk</t>
  </si>
  <si>
    <t>Mémo des Enfants du Monde</t>
  </si>
  <si>
    <t>https://drive.google.com/uc?id=17a41QtsgaVryfudJiL_6fcS9Vaw93oXW</t>
  </si>
  <si>
    <t>IMG_20220821_165646.jpg</t>
  </si>
  <si>
    <t>de mémoire, 24 paires !</t>
  </si>
  <si>
    <t>DVqY7cZZX4mcCmY2hGRNFi</t>
  </si>
  <si>
    <t>Hand in Hand (doublon) UNICEF</t>
  </si>
  <si>
    <t>https://drive.google.com/uc?id=17THXLs9YjaVXbRbS_uoMA283s3KCw4HF</t>
  </si>
  <si>
    <t>IMG_20220821_165828.jpg</t>
  </si>
  <si>
    <t>refabriquer un dés avec Julien spécifiant picto garçon ou fille et un autre chapeau / pas chapeau. objectif : faire la plus grande ronde autour du monde selon les contraintes du lancer de dès</t>
  </si>
  <si>
    <t>EY3vBLFc4mNxBUgxPqMuPS</t>
  </si>
  <si>
    <t>Jeu des 7 familles Je voyage autour de la Terre</t>
  </si>
  <si>
    <t>https://drive.google.com/uc?id=1EGooZYeQUquJ5sG6nDJSh7eXtG0gHFen</t>
  </si>
  <si>
    <t>IMG_20220821_170643.jpg</t>
  </si>
  <si>
    <t>familles esquimaude, touareg, japonaise, mexicaine, indienne, australienne, africaine</t>
  </si>
  <si>
    <t>2xDtKtsiPDih8V5Le34zCG</t>
  </si>
  <si>
    <t>Grimaces Jeu de mémoire délirant</t>
  </si>
  <si>
    <t>https://drive.google.com/uc?id=17Ib-CJxFscuo_FEnftNYB8kWaR-GYrcT</t>
  </si>
  <si>
    <t>IMG_20220821_170831.jpg</t>
  </si>
  <si>
    <t>WC2vzdhXD82d1iytSUUc1F</t>
  </si>
  <si>
    <t>Hand in Hand UNICEF</t>
  </si>
  <si>
    <t>https://drive.google.com/uc?id=1DKTJxzqpoghUcdZ2NsfS61HXQoOMoc9C</t>
  </si>
  <si>
    <t>IMG_20220821_170915.jpg</t>
  </si>
  <si>
    <t>P17ogDBmcgF2NuhsLpjx5c</t>
  </si>
  <si>
    <t>Puzzle NOUNE l'enfant de la Préhistoire 100 pièces</t>
  </si>
  <si>
    <t>https://drive.google.com/uc?id=17hW7eZxQmsppTPuQQjXOL9KsrzxMlUtd</t>
  </si>
  <si>
    <t>IMG_20220821_171045.jpg</t>
  </si>
  <si>
    <t>à exploiter avec l'album Noune, l'enfant de la Préhistoire</t>
  </si>
  <si>
    <t>WqWMaPSoWR6X1URz1Jfrdh</t>
  </si>
  <si>
    <t>"Vers de terre" étirables</t>
  </si>
  <si>
    <t>https://drive.google.com/uc?id=17g8gVp4AZ-h6lWblqPsgiLru2UWUmyq9</t>
  </si>
  <si>
    <t>IMG_20220821_174132.jpg</t>
  </si>
  <si>
    <t>pour réveiller les sensations palmaires ou décompresser après une bonne séance de travail</t>
  </si>
  <si>
    <t>71Szo6UhVdBNwqzQyaEPxL</t>
  </si>
  <si>
    <t>Imagidés Laissez parler votre imagination</t>
  </si>
  <si>
    <t>https://drive.google.com/uc?id=17g3RvXwjw_yr_ImrPkBsOQxurU5igySW</t>
  </si>
  <si>
    <t>IMG_20220821_180858.jpg</t>
  </si>
  <si>
    <t>super pour encourager l'expression orale, dès qui permettent de créer une multitude d'histoires. Lancer les dès et créer ensemble un récit à partir des images révélées. 12 dès gravés, règle du jeu, variantes proposées pr tansformer le jeu en outil péda et linguistique!</t>
  </si>
  <si>
    <t>8NYg9WUwQcw2dk8YdiFL6y</t>
  </si>
  <si>
    <t>Toise Poule poussin plante</t>
  </si>
  <si>
    <t>https://drive.google.com/uc?id=17fV-imoPo4vIBsE_ct3zIWoj-Dl_Dd4A</t>
  </si>
  <si>
    <t>IMG_20220821_180954.jpg</t>
  </si>
  <si>
    <t>RT9aDfCpDF8mkpqmAaVL8T</t>
  </si>
  <si>
    <t>masque/visière transparente COVID pr phono</t>
  </si>
  <si>
    <t>https://drive.google.com/uc?id=19-mmnXSO_vcpcmmkq2UrJrAqND_WUleG</t>
  </si>
  <si>
    <t>IMG_20220821_183025.jpg</t>
  </si>
  <si>
    <t>1 exemplaire encore sous plastique</t>
  </si>
  <si>
    <t>SHNFkQfmJiTMywU31w5ZGQ</t>
  </si>
  <si>
    <t>Jeu des 7 familles Plantes sauvages</t>
  </si>
  <si>
    <t>https://drive.google.com/uc?id=18p_9c2gI2hBMv0Qse3GgcKGJAhlWM33_</t>
  </si>
  <si>
    <t>IMG_20220821_184526.jpg</t>
  </si>
  <si>
    <t>TBHS6NUR5UXjkBK8hzNA92</t>
  </si>
  <si>
    <t>Palette d'artiste (plastique)</t>
  </si>
  <si>
    <t>https://drive.google.com/uc?id=190mGJwe1-2Pw4SDksAvHv-a24YewqVSV</t>
  </si>
  <si>
    <t>IMG_20220821_184553.jpg</t>
  </si>
  <si>
    <t>55fwgQ8f3HEYcr5o6o1Ktg</t>
  </si>
  <si>
    <t>Jeu de puces</t>
  </si>
  <si>
    <t>https://drive.google.com/uc?id=198ZomCecU-UVQtHG81vOKHfjh3LprSNa</t>
  </si>
  <si>
    <t>IMG_20220821_184604.jpg</t>
  </si>
  <si>
    <t>Je3ijC4tzK9B7tChxX9sW</t>
  </si>
  <si>
    <t>Les multifamilles</t>
  </si>
  <si>
    <t>https://drive.google.com/uc?id=198EG1_4AbyzYPAm4ODVJ9YIowsl4CHCM</t>
  </si>
  <si>
    <t>IMG_20220821_184626.jpg</t>
  </si>
  <si>
    <t>jeu de cartes proposant des exercices d'observation, initiation mathématiques et logiques. Une image est décrite, les élèves doivent retrouver celle qui correspond aux indices donnés : grand/petit, gauche/droite, telle ou telle couleur, etc</t>
  </si>
  <si>
    <t>BYBoMQuT7KAqp8679RW3DY</t>
  </si>
  <si>
    <t>Puzzles Schtroumpfs 3x50p</t>
  </si>
  <si>
    <t>https://drive.google.com/uc?id=193DAhICLCp9V7M1mOKccGqIcHigLQ2UY</t>
  </si>
  <si>
    <t>IMG_20220821_185010.jpg</t>
  </si>
  <si>
    <t>EHNyj7zKBurWzUwo3dh87X</t>
  </si>
  <si>
    <t>Kelbazar !</t>
  </si>
  <si>
    <t>https://drive.google.com/uc?id=19I8Ep_M5vsOw7CC9myhBohX9MCR_AX7V</t>
  </si>
  <si>
    <t>IMG_20220821_190417.jpg</t>
  </si>
  <si>
    <t>DCosYCfVcpet2xFf1z61E8</t>
  </si>
  <si>
    <t>Le jeu des incollables 6 niveaux de questions</t>
  </si>
  <si>
    <t>https://drive.google.com/uc?id=19Fn31B9cCjLo_j94OUMKBBR8US-oPpZR</t>
  </si>
  <si>
    <t>IMG_20220821_190615.jpg</t>
  </si>
  <si>
    <t>pour jouer de 6 à 99 ans!</t>
  </si>
  <si>
    <t>Hhz7uZ2GU5PD1md8vkYFJ6</t>
  </si>
  <si>
    <t>Absolutely English ! Jeu pour améliorer son anglais en s'amusant</t>
  </si>
  <si>
    <t>https://drive.google.com/uc?id=19Fhksylal3Ky-CzYf1RIiWYOG0XdAFOB</t>
  </si>
  <si>
    <t>IMG_20220821_190903.jpg</t>
  </si>
  <si>
    <t>5 différents niveaux voca, grammaire, phrases, culture générale, etc</t>
  </si>
  <si>
    <t>EcdJBGwL2j6UD28HvHRDzS</t>
  </si>
  <si>
    <t>Jeux de l'Oie Moyen-Age (x2)</t>
  </si>
  <si>
    <t>https://drive.google.com/uc?id=19Cp41SX_F_0AmFeilEdCZhl6W1gJZ2Fy</t>
  </si>
  <si>
    <t>IMG_20220821_191139.jpg</t>
  </si>
  <si>
    <t>92zZ9hLygq4AmmAUi3rgpd</t>
  </si>
  <si>
    <t>Loto des fruits exotiques (doublon)</t>
  </si>
  <si>
    <t>https://drive.google.com/uc?id=19BMjgKo7JeOVdaouuQ2hq7qevpFmjdrG</t>
  </si>
  <si>
    <t>IMG_20220821_191932.jpg</t>
  </si>
  <si>
    <t>NjiLPEREviKXjP6fQf88YA</t>
  </si>
  <si>
    <t>Jeu des 7 familles Je voyage autour de la Terre (doublon)</t>
  </si>
  <si>
    <t>https://drive.google.com/uc?id=19r08Ikahg8rUo1WD_xHM8EafR8J1cJPp</t>
  </si>
  <si>
    <t>IMG_20220821_192403.jpg</t>
  </si>
  <si>
    <t>6zdX8gWiVtBshAkfGsEcfq</t>
  </si>
  <si>
    <t>Mikados géants</t>
  </si>
  <si>
    <t>https://drive.google.com/uc?id=19qrpYZIV7R-ZNjmamxJlueBLEO-hsnlA</t>
  </si>
  <si>
    <t>IMG_20220821_193059.jpg</t>
  </si>
  <si>
    <t>DGzxBifsa1HhBPGvrHocYn</t>
  </si>
  <si>
    <t>Le mémo des oiseaux de France !</t>
  </si>
  <si>
    <t>https://drive.google.com/uc?id=19o75ANXVl7ktuqGvBDaNwC2-iIFkS3lI</t>
  </si>
  <si>
    <t>IMG_20220821_194713.jpg</t>
  </si>
  <si>
    <t>24 paires d'oiseaux à découvrir. Pour rappel, j'ai des guides des oiseaux (communs, diurnes/nocturnes) et on a plusieurs types de nids à montrer en classe</t>
  </si>
  <si>
    <t>GPk1DfzsJo9gsHseeiD9SB</t>
  </si>
  <si>
    <t>Cartes à devinettes</t>
  </si>
  <si>
    <t>https://drive.google.com/uc?id=19kyP2ARfiazfv4j6ixeBgYWz8UsbVfqU</t>
  </si>
  <si>
    <t>IMG_20220821_220542.jpg</t>
  </si>
  <si>
    <t>FdpqTydFur26xjDidD7aBQ</t>
  </si>
  <si>
    <t>Jour de fête Un jeu pour se découvrir, se parler et mieux se rencontrer</t>
  </si>
  <si>
    <t>https://drive.google.com/uc?id=19hr4sAGOMk7YHM4zVmPk38SPhNFH3Xfp</t>
  </si>
  <si>
    <t>IMG_20220821_220626.jpg</t>
  </si>
  <si>
    <t>Jeu pour adultes, adolescents et enfants à partir de 6 ans</t>
  </si>
  <si>
    <t>YYvLUi8ys6fwY5zw2MiQDG</t>
  </si>
  <si>
    <t>Tangram Original China Puzzle</t>
  </si>
  <si>
    <t>https://drive.google.com/uc?id=19YkpnsHvo5HgzRZ6FWnnsLFfGOYIMwE5</t>
  </si>
  <si>
    <t>IMG_20220821_220715.jpg</t>
  </si>
  <si>
    <t>TaDXEFknFguKfAXjGBbjsT</t>
  </si>
  <si>
    <t>Totem Croque-Forme</t>
  </si>
  <si>
    <t>https://drive.google.com/uc?id=19WMIEfAAIqnKiZGVYVFl3jHVt0dhYIuP</t>
  </si>
  <si>
    <t>IMG_20220821_220816.jpg</t>
  </si>
  <si>
    <t>associer les formes et les pièces qui enveloppent ces formes. Permet de développer le sens de l'observation, la rapidité et vivacité sous un aspect ludique</t>
  </si>
  <si>
    <t>8eeDfTHCu4ymPxdh5y7Le</t>
  </si>
  <si>
    <t>Jeu de loto Astérix et les Goths</t>
  </si>
  <si>
    <t>https://drive.google.com/uc?id=19QtXspFHOJJoQB8iWweEN5vHap8BBCXJ</t>
  </si>
  <si>
    <t>IMG_20220821_220901.jpg</t>
  </si>
  <si>
    <t>UP4qYChfhEorjHxYUmzUxK</t>
  </si>
  <si>
    <t>Animaux</t>
  </si>
  <si>
    <t>https://drive.google.com/uc?id=19IzyFAFsUKDq1YcFJxlqDduC9kXTwosE</t>
  </si>
  <si>
    <t>IMG_20220822_082541.jpg</t>
  </si>
  <si>
    <t>à manipuler pour jouer, décrire, trier par familles. lapins, éléphants, écureuils, hérissons, chiens, hamsters...</t>
  </si>
  <si>
    <t>KUSqMC7PSdXcZB1SmpTC33</t>
  </si>
  <si>
    <t>Miro phototwin a memo &amp; art game</t>
  </si>
  <si>
    <t>https://drive.google.com/uc?id=1AASeMy6slP2duuAxeBDXID4PC4zIvYmc</t>
  </si>
  <si>
    <t>IMG_20220822_082923.jpg</t>
  </si>
  <si>
    <t>Cartes qui peuvent être introduites lors d'un travail en arts visuels sur Miro. Rappel, à dispo chez moi album jeunesse La magisorcière et le Tamafumoir (Miro et sensibilisation via l'histoire au besoin de se soucier de notre planète)</t>
  </si>
  <si>
    <t>Wxh7nspgnkDngx1AyGvp5o</t>
  </si>
  <si>
    <t>Fang mich ! (=attrape moi!)</t>
  </si>
  <si>
    <t>https://drive.google.com/uc?id=1A4ZnqzT3QAXsY2s5wGMZiS49gT6iXydI</t>
  </si>
  <si>
    <t>IMG_20220822_083223.jpg</t>
  </si>
  <si>
    <t>ECKoo2NKZSx2hNZZChKxse</t>
  </si>
  <si>
    <t>Tout pour découvrir l'anglais en jouant !</t>
  </si>
  <si>
    <t>https://drive.google.com/uc?id=19xt1QITJXpuhldR6UaHxkeFqQKshLtuN</t>
  </si>
  <si>
    <t>IMG_20220822_083458.jpg</t>
  </si>
  <si>
    <t xml:space="preserve">un jeu de familles et un mini livre de jeux, activités et voca </t>
  </si>
  <si>
    <t>7GKD2YrLiTirHoWf9VaJeF</t>
  </si>
  <si>
    <t>Dès / 1 godet noir / des pions et petits chevaux</t>
  </si>
  <si>
    <t>https://drive.google.com/uc?id=1ADce0ydhIS6d_5kKkzROMpULsHW5Ch_N</t>
  </si>
  <si>
    <t>IMG_20220822_083813.jpg</t>
  </si>
  <si>
    <t>7Pxpgyo9DaAHGNDEsGwAUF</t>
  </si>
  <si>
    <t>2 batons magnétiques et jetons aimantés pr loto</t>
  </si>
  <si>
    <t>https://drive.google.com/uc?id=1AE_V3kITnqXKt5N0DDCdnXY_ZW6LkGcE</t>
  </si>
  <si>
    <t>IMG_20220822_084408.jpg</t>
  </si>
  <si>
    <t>Lqe3rdfdzqEp3ThyNiJEUm</t>
  </si>
  <si>
    <t>Pioch'à Mots des cartes des lettres des mots !</t>
  </si>
  <si>
    <t>https://drive.google.com/uc?id=1AZj2LhMmdXE4eNJyabzZC0fy-vg5nK4X</t>
  </si>
  <si>
    <t>IMG_20220822_084635.jpg</t>
  </si>
  <si>
    <t>Piochez chacun à votre tour des cartes. le premier à avoir un mot d'au moins 4 lettres peut crier "top" et remporter le tour. mais attention, plus le mot est long, plus vous gagnez de points ! et si le mot est entièrement écrit de la même couleur vous obtenez un bonus couleur ! vous fixez vous même le nbre de ponts à atteindre pour gagner la partie.</t>
  </si>
  <si>
    <t>KW7di8N9bV88Mm1886kot2</t>
  </si>
  <si>
    <t>Anglais Je joue avec les mots ! CARTATOTO</t>
  </si>
  <si>
    <t>https://drive.google.com/uc?id=1AWWCLN_nAIXxtc8_-xEWe2Ey-XoFnNgc</t>
  </si>
  <si>
    <t>IMG_20220822_084650.jpg</t>
  </si>
  <si>
    <t>jeu de 110 cartes</t>
  </si>
  <si>
    <t>TrF8ut98HcfCGjNkJageLi</t>
  </si>
  <si>
    <t>Jeu des 7 familles SECURITE</t>
  </si>
  <si>
    <t>https://drive.google.com/uc?id=1APippBM3wV79nRW3LWNyA_vzDz3AD7E5</t>
  </si>
  <si>
    <t>IMG_20220822_084712.jpg</t>
  </si>
  <si>
    <t>W85AHgpkHfQYCq21DPTvgL</t>
  </si>
  <si>
    <t xml:space="preserve">Orthodingo CE2 </t>
  </si>
  <si>
    <t>https://drive.google.com/uc?id=1AGLblvO35IwkpYh6FLaJCnuOmnmWO8fq</t>
  </si>
  <si>
    <t>IMG_20220822_084749.jpg</t>
  </si>
  <si>
    <r>
      <rPr/>
      <t xml:space="preserve">Jeu "dida cool" inventé par une orthophoniste. Pour jouer en famille ou en classe. BONUS = manuel péda à télécharger sur le site </t>
    </r>
    <r>
      <rPr>
        <color rgb="FF1155CC"/>
        <u/>
      </rPr>
      <t>aritma.net</t>
    </r>
    <r>
      <rPr/>
      <t xml:space="preserve"> 3 règles et 200 mots pour maîtriser l'orthographe. On aborde les difficultés orthographiques des mots : lettres en double (ss, nn, tt...), digraphes (ui,oi,ou,en), les lettres muettes, le son "qu", les sons complexes (ille, eur, oin...), les écritures des sons o, é, e, s,j, z...</t>
    </r>
  </si>
  <si>
    <t>5sdD4F9iMSaUHzfCUMogJc</t>
  </si>
  <si>
    <t>J'associe... les énergies</t>
  </si>
  <si>
    <t>https://drive.google.com/uc?id=1AFwEdoTyE2-lyDkQQG7FgB5u3zXgQTi-</t>
  </si>
  <si>
    <t>IMG_20220822_084900.jpg</t>
  </si>
  <si>
    <t>images Alain Grée, donc peut-être moins accessibles que des photos d'aujourd'hui</t>
  </si>
  <si>
    <t>73ftU3cStUVCUJEt1zsNp8</t>
  </si>
  <si>
    <t>J'associe... les aliments</t>
  </si>
  <si>
    <t>https://drive.google.com/uc?id=1AchBz_BChaGFWJavtWFwGR1S0TgSDTxf</t>
  </si>
  <si>
    <t>IMG_20220822_084945.jpg</t>
  </si>
  <si>
    <t>7Z4KtjXaRY3WnaQW7vZy2p</t>
  </si>
  <si>
    <t xml:space="preserve">Cartes animaux et insectes </t>
  </si>
  <si>
    <t>https://drive.google.com/uc?id=1AemM4RJYalF2hp-quV9Vhv5gvYjEb6U_</t>
  </si>
  <si>
    <t>IMG_20220822_084956.jpg</t>
  </si>
  <si>
    <t>cartes "Merveilles du monde" des tablettes de chocolat Nestlé quand on était petits... Pour de la phono? Du langage oral? Observation, catégorisation... Devinettes? à réfléchir !</t>
  </si>
  <si>
    <t>VbXwSb3ZL2bjM6tMuKHaci</t>
  </si>
  <si>
    <t>MILMOT Jeu de dès et de lettres</t>
  </si>
  <si>
    <t>https://drive.google.com/uc?id=1AeSq5ZEcizCfFUufveR9w52um6myvqZa</t>
  </si>
  <si>
    <t>IMG_20220822_085011.jpg</t>
  </si>
  <si>
    <t>YGeEiXzKJvFHjCY8Y4ipxX</t>
  </si>
  <si>
    <t>Animaux dans la nature</t>
  </si>
  <si>
    <t>https://drive.google.com/uc?id=1Ad_vUspE1J80ES6T_alNsFXSrpB02v--</t>
  </si>
  <si>
    <t>IMG_20220822_085027.jpg</t>
  </si>
  <si>
    <t>Observation Identification Ecologie 6 planches 36 jetons</t>
  </si>
  <si>
    <t>4LtoTD2dMFoYNa7q43X3CG</t>
  </si>
  <si>
    <t>Pétanque 8 boules couleurs ficelle et cochonnet en bois</t>
  </si>
  <si>
    <t>https://drive.google.com/uc?id=1AieWVsiYDqsYg-58EurDBciJ3-IGECXI</t>
  </si>
  <si>
    <t>IMG_20220822_085033.jpg</t>
  </si>
  <si>
    <t>Vraies boules de pétanque format mini ! Sport / Couleurs</t>
  </si>
  <si>
    <t>SdGbPLfYNdq2nn7W9wCV6L</t>
  </si>
  <si>
    <t>Jeu de mémory abstrait Ikéa</t>
  </si>
  <si>
    <t>https://drive.google.com/uc?id=1AjZlmhDkawPJgWGzjl7C7p3kVaClqpdY</t>
  </si>
  <si>
    <t>IMG_20220822_085054.jpg</t>
  </si>
  <si>
    <t>Cartes étonnantes, formes non identifiables, à découvrir...</t>
  </si>
  <si>
    <t>5w6LD5twRHnk6Qz6wG33u3</t>
  </si>
  <si>
    <t>Aqua Mémo Jeu de mémo flottant</t>
  </si>
  <si>
    <t>https://drive.google.com/uc?id=1AjFBIXquhFGHWF0Ewc-eBQVmwwjKErj5</t>
  </si>
  <si>
    <t>IMG_20220822_085116.jpg</t>
  </si>
  <si>
    <t>Poissons plastifiés Formes et couleurs différentes</t>
  </si>
  <si>
    <t>NSquSUchBmo2CmaR1NpLZW</t>
  </si>
  <si>
    <t>Traffic Domino</t>
  </si>
  <si>
    <t>https://drive.google.com/uc?id=1B-1RYc972zxY6Zj-81T3omCZqpuWfWUn</t>
  </si>
  <si>
    <t>IMG_20220822_085143.jpg</t>
  </si>
  <si>
    <t>6WuFNLHh5Yc9wDfoKVSPBT</t>
  </si>
  <si>
    <t>Le Mot le plus COURT</t>
  </si>
  <si>
    <t>https://drive.google.com/uc?id=1Avlla1l7IOOYnW8Hb1leg3zoIOxxTrwH</t>
  </si>
  <si>
    <t>IMG_20220822_085352.jpg</t>
  </si>
  <si>
    <t>Boîte : 4 dès, 1 bloc-notes, 1 crayon, 1 tapis de jeu, 1 règle du jeu. Soyez le plus rapide à trouver le mot le plus court dans lequel figurent au moins les 3 consonnes sorties du lancer des dès. En famille, jouez avec le dé voyelles en plus pour les enfants.</t>
  </si>
  <si>
    <t>7Rh5ifEKYvjSSEoQxe9x6C</t>
  </si>
  <si>
    <t xml:space="preserve">Cherchez l'erreur </t>
  </si>
  <si>
    <t>https://drive.google.com/uc?id=1B-PQNAmsJhCQB8icXqHFDMTgyqhqGXmR</t>
  </si>
  <si>
    <t>IMG_20220822_085441.jpg</t>
  </si>
  <si>
    <t>Trouvez l'unique erreur sur chacune des 24 images. BONNE CHANCE !!!</t>
  </si>
  <si>
    <t>Xv9bi7xB6GEHjb7C9pXJce</t>
  </si>
  <si>
    <t>LE LIVRE MAGIQUE</t>
  </si>
  <si>
    <t>https://drive.google.com/uc?id=1B2SZfhYqE3leUEWl9n2y0aFJy6sYfxYk</t>
  </si>
  <si>
    <t>IMG_20220822_085543.jpg</t>
  </si>
  <si>
    <t>Présence de l'adulte à côté de l'élève pr éviter d'abimer le maériel. Livre avec photos et dessins d'animaux. Dessins qui vont s'animer si l'enfant deplace doucement le film rayé sur le dessin n&amp;b !! Génial !</t>
  </si>
  <si>
    <t>WQHWEKjSXsXjp9kPt5vLdJ</t>
  </si>
  <si>
    <t>Kaléïdoscope</t>
  </si>
  <si>
    <t>https://drive.google.com/uc?id=1BijuMEdBaWkEFXAhx7j_pjhULt_pe5pY</t>
  </si>
  <si>
    <t>IMG_20220822_093335.jpg</t>
  </si>
  <si>
    <t>Objet de 20cm approx Joli kaléïdoscope look vintage. Stimule les sens avec les jeux de couleurs et les motifs de l'environnement quotidien duppliqués à l'infini ou presque ! Lui ne fournit pas d'images avec des petitses formes logées à l'intérieur du tube mais utilise le monde autour de soi pour donner à voir des tableaux originaux chaque fois !! Une expérience géniale ! Outil idéal pour travailler autour des 5 sens !</t>
  </si>
  <si>
    <t>N8688hJet4iWyuw341xG5e</t>
  </si>
  <si>
    <t>Monnaie € de pays de l'UE + loupe ronde plate</t>
  </si>
  <si>
    <t>https://drive.google.com/uc?id=1B3S2-ZdyZblPUvf3T_SXcDeC1N_Lcv0Y</t>
  </si>
  <si>
    <t>IMG_20220822_093434.jpg</t>
  </si>
  <si>
    <t>Attention aux vols... Collection de pièces de monnaies de nombreux pays au fil des années. J'y tiens donc, en plus de la valeur réelle des ces euros ! intéressant pour aborder la construction européenne avec des élèves de cycle 3. On y voit les symboles de chaque pays et on comprend peut être mieux encore les échanges commerciaux et nécessité des accords entre pays pr permettre les flux de marchandises et de personnes au sein de l'UE</t>
  </si>
  <si>
    <t>CZfMjKoYAS1k67idFVtaoo</t>
  </si>
  <si>
    <t>Le Petit Larousse illustré édition limitée 2021</t>
  </si>
  <si>
    <t>https://drive.google.com/uc?id=1Bk6P9r8XE5u1ZjP0e1NRX840mqoTQdmE</t>
  </si>
  <si>
    <t>IMG_20220822_093512.jpg</t>
  </si>
  <si>
    <t>Pour montrer qu'il n'y a pas que "ok google, comment écrit-on ....?" Les dictionnaires illustrés sont une mine formidable d'informations. Celui-ci est en TB état et l'agencement des mots en zones de couleurs sur la tranche des pages facilite la recherche.</t>
  </si>
  <si>
    <t>K9paL7zsbDxdkSrxTnU5z7</t>
  </si>
  <si>
    <t>Ancienne carte physique des Iles Britannniques N°58 recto</t>
  </si>
  <si>
    <t>https://drive.google.com/uc?id=1Bn8e5rKVJROTqu_0yoe5fFFmzzDEtxkp</t>
  </si>
  <si>
    <t>IMG_20220822_093540.jpg</t>
  </si>
  <si>
    <t>JTwbCon863vXW5xpEYet9v</t>
  </si>
  <si>
    <t>Ancienne carte physique des Iles Britannniques N°58 verso</t>
  </si>
  <si>
    <t>https://drive.google.com/uc?id=1BwXOAVg2RJzMdv_NRGbl3j9TmMGL0Xjg</t>
  </si>
  <si>
    <t>IMG_20220822_093552.jpg</t>
  </si>
  <si>
    <t>6GaMqitwJb1rMPoct1FPFr</t>
  </si>
  <si>
    <t>Geomag Construction magnétique</t>
  </si>
  <si>
    <t>https://drive.google.com/uc?id=1BujunZl0uxJAxuIANaFGIqUlL0uiY-NG</t>
  </si>
  <si>
    <t>IMG_20220822_093600.jpg</t>
  </si>
  <si>
    <t>3D, géométrie, espace. Pièces magnétiques de différentes formes qui se connectent entre elles dans toutes les positions. Simplicité d'utilisation dès 3 ans si enfant ne porte plus à la bouche... Développe l’imagination, permet d’apprendre la résolution de problème, etc.</t>
  </si>
  <si>
    <t>CzESs8B88yPbksjKBbJjdW</t>
  </si>
  <si>
    <t>Balle extensible et rétractable</t>
  </si>
  <si>
    <t>https://drive.google.com/uc?id=1Bs9m8_S13pyTrSbWwMDyeltH2aJzRbRX</t>
  </si>
  <si>
    <t>IMG_20220822_093617.jpg</t>
  </si>
  <si>
    <t>plaisir sans fin ! se rétracte dès qu'elle touche le sol ou un objet...</t>
  </si>
  <si>
    <t>MczcgcGBHTWV6c6Nm9wssS</t>
  </si>
  <si>
    <t>Balle extensible tentacules VERTE</t>
  </si>
  <si>
    <t>https://drive.google.com/uc?id=1C867dQG2MZFmjHOY2AYMHJqpSYuSjeQo</t>
  </si>
  <si>
    <t>IMG_20220822_093641.jpg</t>
  </si>
  <si>
    <t>pour se faire des passes en comptant le plus loin possible etc</t>
  </si>
  <si>
    <t>4NSv6E3f2Y8auC8H11pxmu</t>
  </si>
  <si>
    <t>Eventail XXL Paysage ASIE</t>
  </si>
  <si>
    <t>https://drive.google.com/uc?id=1C74CYQbmMzSvMhpVKtuEe4498QHhTvvV</t>
  </si>
  <si>
    <t>IMG_20220822_093645.jpg</t>
  </si>
  <si>
    <t>KywVWu8DBTN8iNe65JS33Q</t>
  </si>
  <si>
    <t>Eventail XXL Paysage AFRIQUE</t>
  </si>
  <si>
    <t>https://drive.google.com/uc?id=1CAg9ErhqhlfBnjqWEepX5tnVMMXmYYzc</t>
  </si>
  <si>
    <t>IMG_20220822_093719.jpg</t>
  </si>
  <si>
    <t>JQQHcxPcrvT72v5eme7XtN</t>
  </si>
  <si>
    <t>Eventail XL Cerisier Oiseaux ASIE</t>
  </si>
  <si>
    <t>https://drive.google.com/uc?id=1CS5SodgEgBT4gA--pklqKdbVEQ2_YJLi</t>
  </si>
  <si>
    <t>IMG_20220822_093741.jpg</t>
  </si>
  <si>
    <t>Jew6vdjSWBiXJK7MAyLcEZ</t>
  </si>
  <si>
    <t>Ombrelle XXL Oiseau et Calligraphie ASIE</t>
  </si>
  <si>
    <t>https://drive.google.com/uc?id=1CN2RXhKsceO-FAATk3CDDv4SRGZI5OUV</t>
  </si>
  <si>
    <t>IMG_20220822_093947.jpg</t>
  </si>
  <si>
    <t>V3TXnVYMhdgfRp2dcmvKLR</t>
  </si>
  <si>
    <t>Ombrelle XXL Oiseaux et nature ASIE</t>
  </si>
  <si>
    <t>https://drive.google.com/uc?id=1CK1QxR00pwgJFD2irUz-ASxk-I2qbbJm</t>
  </si>
  <si>
    <t>IMG_20220822_094047.jpg</t>
  </si>
  <si>
    <t>RQssiV3QnLmrHMjyFsSNnT</t>
  </si>
  <si>
    <t>Chapeau asiatique de paille</t>
  </si>
  <si>
    <t>https://drive.google.com/uc?id=1CHku3l1hrmrLoGjFUIs6dz-pAmHRqizN</t>
  </si>
  <si>
    <t>IMG_20220822_094114.jpg</t>
  </si>
  <si>
    <t>4ThxAJPMPjiG1oRGZGFTZE</t>
  </si>
  <si>
    <t>Masque zèbre AFRIQUE</t>
  </si>
  <si>
    <t>https://drive.google.com/uc?id=1CFjl9Whsfuv477SCaHS-HN_J8SqjFArR</t>
  </si>
  <si>
    <t>IMG_20220822_094130.jpg</t>
  </si>
  <si>
    <t>DrFFw6TnVjh5C9kNaJpZC2</t>
  </si>
  <si>
    <t>Le calendrier des fruits et légumes de saison</t>
  </si>
  <si>
    <t>https://drive.google.com/uc?id=1CCw_U880bqoGg2xhdTqftKoMlYnqgckl</t>
  </si>
  <si>
    <t>IMG_20220822_094156.jpg</t>
  </si>
  <si>
    <t>2cKNnp9Am8pLzNatpF1YLR</t>
  </si>
  <si>
    <t>Paire de jumelles + étui PARALUX</t>
  </si>
  <si>
    <t>https://drive.google.com/uc?id=1CUBZKq_g25wbm9zG7-clI61nAYljd7nV</t>
  </si>
  <si>
    <t>IMG_20220822_094234.jpg</t>
  </si>
  <si>
    <t>Champ 142m à 1OOOm</t>
  </si>
  <si>
    <t>WF6ktbMfk1QGycT59Dhubq</t>
  </si>
  <si>
    <t>Bilboquets x3</t>
  </si>
  <si>
    <t>https://drive.google.com/uc?id=1CgfeiMm5AbCu2WhMk4xCi8OHpJNHG10d</t>
  </si>
  <si>
    <t>IMG_20220822_104212.jpg</t>
  </si>
  <si>
    <t>D2TW5PHCiow1h5GThQe2V2</t>
  </si>
  <si>
    <t xml:space="preserve">Toupie en bois </t>
  </si>
  <si>
    <t>https://drive.google.com/uc?id=1CdaOGp550_mb_M3ED0_m5RNljdrqB52b</t>
  </si>
  <si>
    <t>IMG_20220822_104301.jpg</t>
  </si>
  <si>
    <t>(manque ficelle pr créer l'impulsion de départ, à ajouter !!)</t>
  </si>
  <si>
    <t>YD8vuBnVQNPodsFTZebFvE</t>
  </si>
  <si>
    <t>Outils pr travailler la terre glaise ou l'argile</t>
  </si>
  <si>
    <t>https://drive.google.com/uc?id=1Cay_7IAW3QWTWbb5si8vphoZ0YJYRHUS</t>
  </si>
  <si>
    <t>IMG_20220822_104447.jpg</t>
  </si>
  <si>
    <t>LMwGHs4DzwQ7xEseksvKZD</t>
  </si>
  <si>
    <t>Crochets différentes tailles (x6)</t>
  </si>
  <si>
    <t>https://drive.google.com/uc?id=1C_cRqY04D9A3jPt_Hazxs0qASR3HemUm</t>
  </si>
  <si>
    <t>IMG_20220822_104926.jpg</t>
  </si>
  <si>
    <t>Pour un atelier de motricité fine, cartons de laine de couleurs variées chez moi</t>
  </si>
  <si>
    <t>WRdjwFz3VmimaZdGTriQRc</t>
  </si>
  <si>
    <t>Gommettes CODE de la ROUTE</t>
  </si>
  <si>
    <t>https://drive.google.com/uc?id=1CXvSFp6oYJ-k_V0QCjkU__5-_orNNOkC</t>
  </si>
  <si>
    <t>IMG_20220822_122406.jpg</t>
  </si>
  <si>
    <t>160 gommettes, des idées à photocopier?</t>
  </si>
  <si>
    <t>JgD2rDjFyDaH9D1tS1hNgX</t>
  </si>
  <si>
    <t>Cercles (ou tambours) à broder en bois, différentes tailles</t>
  </si>
  <si>
    <t>https://drive.google.com/uc?id=1Cu_SnS9HhGJaZXm5cJchN4JyksQvJLEK</t>
  </si>
  <si>
    <t>IMG_20220822_124203.jpg</t>
  </si>
  <si>
    <t>J1fLPCuppPZCd4PBXfAuAb</t>
  </si>
  <si>
    <t>Matos piscine dispo</t>
  </si>
  <si>
    <t>https://drive.google.com/uc?id=1CsLDRlC5FBXQKfD7t2yD8I9sqJw9FJrZ</t>
  </si>
  <si>
    <t>IMG_20220822_124309.jpg</t>
  </si>
  <si>
    <t>pr prêter ou donner dans le cas des bonnets de bain manquants aux elèves allophones ou autres</t>
  </si>
  <si>
    <t>G8C3A2RZUD1AGFyF6BPpnk</t>
  </si>
  <si>
    <t>Radiographie abdomen</t>
  </si>
  <si>
    <t>https://drive.google.com/uc?id=1ClZ2wScH7lizEh4WUyb0mhsLBntC6F0w</t>
  </si>
  <si>
    <t>IMG_20220822_125038.jpg</t>
  </si>
  <si>
    <t>pr voir en vrai le bidou qu'on sent sous les doigts !</t>
  </si>
  <si>
    <t>QHxiDHB2vQKcn9mcT7Zbv1</t>
  </si>
  <si>
    <t>2 rubans de GRS</t>
  </si>
  <si>
    <t>https://drive.google.com/uc?id=1CwBF4ZYD8OuewxDaQqDYcwvXpzm8LvGb</t>
  </si>
  <si>
    <t>IMG_20220822_125325.jpg</t>
  </si>
  <si>
    <t>V2EbB39rTPXdyRVhz2sfZ4</t>
  </si>
  <si>
    <t>Le Petit Théâtre d'Ombres</t>
  </si>
  <si>
    <t>https://drive.google.com/uc?id=1D-uhXxA1Z_bZUNgEgCwAo7sCb0FFLLbZ</t>
  </si>
  <si>
    <t>IMG_20220822_125338.jpg</t>
  </si>
  <si>
    <t>livre, figurines, décors, théâtre. prévoir une lampe de poche !!! Qq albums abordant les ombres : Ombre mon amie / Les ombres chinoises (modèles à reproduire avec ses mains) / L'heure rouge</t>
  </si>
  <si>
    <t>XcudCxbdQDcekPYUrpPbFe</t>
  </si>
  <si>
    <t>Bâtonnets de bois à compter</t>
  </si>
  <si>
    <t>https://drive.google.com/uc?id=1DI05hIvsNesTZINGirZz9UTI_5aJQ_Tj</t>
  </si>
  <si>
    <t>IMG_20220822_125534.jpg</t>
  </si>
  <si>
    <t>7 paquets de 10... ou 14 paquets de 5... pour aider un personnage à rassembler du bois pour l'hiver...</t>
  </si>
  <si>
    <t>QRSrWPkxYJppqENVrUbdf7</t>
  </si>
  <si>
    <t>Mannequin en bois à membres articulés</t>
  </si>
  <si>
    <t>https://drive.google.com/uc?id=1D5IwfiOD85b7IQK-hhs3QPloFjqf_Zn0</t>
  </si>
  <si>
    <t>IMG_20220822_125615.jpg</t>
  </si>
  <si>
    <t>T2pLHj2brYJUnKPafGzeEt</t>
  </si>
  <si>
    <t>Jeu mathématiques TPS PS 1,2,3</t>
  </si>
  <si>
    <t>https://drive.google.com/uc?id=1D4zU7J5TgDVpkEoXrAy_OaBYLzJ7M71K</t>
  </si>
  <si>
    <t>IMG_20220822_125712.jpg</t>
  </si>
  <si>
    <t>Album Un automne avec Pop. Aide Pop à mettre le bon nombre de fruits et légumes dans le panier pour faire un grand goûter d'automne dans la forêt (comme dans l'album bien sûr !)</t>
  </si>
  <si>
    <t>SYVoZpj5VRDJqcwZeArNCm</t>
  </si>
  <si>
    <t>Curvimètre</t>
  </si>
  <si>
    <t>https://drive.google.com/uc?id=1DRuM7KsbKR7kFCE9W44RlFZe3H_JCeXK</t>
  </si>
  <si>
    <t>IMG_20220822_125842.jpg</t>
  </si>
  <si>
    <t>GR5eFZoAW9qvJLM6hmtm4Q</t>
  </si>
  <si>
    <t>Images séquentielles</t>
  </si>
  <si>
    <t>https://drive.google.com/uc?id=1DPBbXYPhqQGaGT8eEoYZvoCeBjzrw6V7</t>
  </si>
  <si>
    <t>IMG_20220822_130040.jpg</t>
  </si>
  <si>
    <t xml:space="preserve">Album Le piano des bois : animaux (lapin, raton laveur, oiseaux, grenouilles, écureuil, souris, taupe) et faux instruments de musique de la nature (piano souche, trombone fleur, violoncelle feuille, tambour souche, xylophone feuille). Les animaux-amis rejoignent petit à petit Yuki (fillette) pour le "grand concert du bois" </t>
  </si>
  <si>
    <t>KvzKosVimAdo12MFYk2zWN</t>
  </si>
  <si>
    <t>Awalé (jeu numération Afrique)</t>
  </si>
  <si>
    <t>https://drive.google.com/uc?id=17tI5yyfm3bEBeZrS65J7vog4uvTijNgK</t>
  </si>
  <si>
    <t>IMG_20220822_130223.jpg</t>
  </si>
  <si>
    <t>8Sq7st4k3n3t8ioheXNX3q</t>
  </si>
  <si>
    <t>Jeu Méchanlou</t>
  </si>
  <si>
    <t>https://drive.google.com/uc?id=17pdRikYlpy2MULgq5hz0z1jZie6OC4dq</t>
  </si>
  <si>
    <t>IMG_20220822_130251.jpg</t>
  </si>
  <si>
    <t>Réunir les 6 cartes du conte en faisant attention au loup !</t>
  </si>
  <si>
    <t>48GmXuZuGrRVgfwkNbvabX</t>
  </si>
  <si>
    <t>Jeu Bisous Dodo</t>
  </si>
  <si>
    <t>https://drive.google.com/uc?id=186lj9r-L_byv4nDgO1_EICSNDzQ_4yC3</t>
  </si>
  <si>
    <t>IMG_20220822_130832.jpg</t>
  </si>
  <si>
    <t>que peut-on faire avant d'aller au dodo?</t>
  </si>
  <si>
    <t>Rtynq5FvfeSyxWbvScCr1j</t>
  </si>
  <si>
    <t xml:space="preserve">Poupon </t>
  </si>
  <si>
    <t>https://drive.google.com/uc?id=17zNRK_lAij2qxM26QbeqVqHPxRgMvR1J</t>
  </si>
  <si>
    <t>IMG_20220822_131532.jpg</t>
  </si>
  <si>
    <t>2DH76mrY89fMXtjndENZZ5</t>
  </si>
  <si>
    <t>Sac Cirque</t>
  </si>
  <si>
    <t>https://drive.google.com/uc?id=18FyaeSB2TnRloRmkSZ06hArCxdEpY3Qj</t>
  </si>
  <si>
    <t>IMG_20220822_131753.jpg</t>
  </si>
  <si>
    <t>UwHqr1yE9sPm4Qmqa4hSYs</t>
  </si>
  <si>
    <t>Loupes (x2)</t>
  </si>
  <si>
    <t>https://drive.google.com/uc?id=18CkOXzBUU1MI37uWRHJxsrUFUc7xDqfI</t>
  </si>
  <si>
    <t>IMG_20220822_131927.jpg</t>
  </si>
  <si>
    <t>HbjKh86BSBc12rqCeAasXh</t>
  </si>
  <si>
    <t>Dés (divers)</t>
  </si>
  <si>
    <t>https://drive.google.com/uc?id=18IXlrFZzP1oDoy1iQNoVrkpjbuHkdigH</t>
  </si>
  <si>
    <t>IMG_20220822_132125.jpg</t>
  </si>
  <si>
    <t>Ws4wEiSvbBvTHBjrQi5FFe</t>
  </si>
  <si>
    <t>Sets de table 3D UK</t>
  </si>
  <si>
    <t>https://drive.google.com/uc?id=18NHiqIqqjfNG5e0l-ETv1vBG0ubrasvU</t>
  </si>
  <si>
    <t>IMG_20220822_132210.jpg</t>
  </si>
  <si>
    <t>PFAfXnm3ntnKE7wpL6Nk9w</t>
  </si>
  <si>
    <t>Sachets de cauris africains (porcelaine-monnaie)</t>
  </si>
  <si>
    <t>https://drive.google.com/uc?id=1EPZGSYsxrL28sZvxy25Vc7dC5JqBKVOJ</t>
  </si>
  <si>
    <t>IMG_20220822_132256.jpg</t>
  </si>
  <si>
    <t>9wa6ujwR85U8T6kHxfS8pW</t>
  </si>
  <si>
    <t>Masques d'animaux</t>
  </si>
  <si>
    <t>https://drive.google.com/uc?id=18USsFOPLDynWWmFTm4CB9DEsy1WMOPS_</t>
  </si>
  <si>
    <t>IMG_20220822_132711.jpg</t>
  </si>
  <si>
    <t>4oY47zT5Uq5VfGVnLgfbT8</t>
  </si>
  <si>
    <t>Sac de plage et accessoires divers</t>
  </si>
  <si>
    <t>https://drive.google.com/uc?id=18UyvH9xhoNhOZ4wtkUpwzN_TXOknTWzo</t>
  </si>
  <si>
    <t>IMG_20220822_140507.jpg</t>
  </si>
  <si>
    <t>Pour transvaser, gratter, coopérer, construire, parler, etc</t>
  </si>
  <si>
    <t>UsPz9zu2FskpDpTHYGo2dL</t>
  </si>
  <si>
    <t>Tableaux Matriochkas</t>
  </si>
  <si>
    <t>https://drive.google.com/uc?id=18W0pV7CDclgGYMf6sgcqOXZT29F_Ppo0</t>
  </si>
  <si>
    <t>IMG_20220822_140802.jpg</t>
  </si>
  <si>
    <t>2 tableaux 40x40 grosso modo</t>
  </si>
  <si>
    <t>E3BSLRmLgTSoa874s7axZJ</t>
  </si>
  <si>
    <t>Cartes questions pour se raconter</t>
  </si>
  <si>
    <t>https://drive.google.com/uc?id=18WxXdMLvVjUDIhYq5mrBV82AVHDNLVds</t>
  </si>
  <si>
    <t>IMG_20220822_141011.jpg</t>
  </si>
  <si>
    <t>Des cartes questions pour se raconter, se découvrir. Favorise l'expression orale, l'écoute, le lien entre élèves</t>
  </si>
  <si>
    <t>2X8xKaUjMNj84uBW49okgv</t>
  </si>
  <si>
    <t>CARTATOTO 110 cartes Addition Je joue avec les chiffres</t>
  </si>
  <si>
    <t>https://drive.google.com/uc?id=18_ZG-yKmhvwTu8nAUdExLimQZUVoOvyy</t>
  </si>
  <si>
    <t>IMG_20220822_164352.jpg</t>
  </si>
  <si>
    <t>YZ37v1aKV47KZT9UYvWtyR</t>
  </si>
  <si>
    <t>Suspend Jeu d'adresse</t>
  </si>
  <si>
    <t>https://drive.google.com/uc?id=18Z-eDCgX5-FrC5vCrap2x4bUOebdgb7B</t>
  </si>
  <si>
    <t>IMG_20220822_173503.jpg</t>
  </si>
  <si>
    <t>GE1drC1TsSnKPtEZArfVVa</t>
  </si>
  <si>
    <t>Balle multicolore à encastrer</t>
  </si>
  <si>
    <t>https://drive.google.com/uc?id=17bp3Qr0wqS_1RUT96fgvTjLmQP7A_wiV</t>
  </si>
  <si>
    <t>IMG_20220822_200023.jpg</t>
  </si>
  <si>
    <t>8gN97hLHke9LmnJEzrx9h9</t>
  </si>
  <si>
    <t>Cartes "ANIMAL ou VEGETAL?" (12)</t>
  </si>
  <si>
    <t>https://drive.google.com/uc?id=1ArpAnByrN8qfCK7q52sDQnpIj7I2z5a8</t>
  </si>
  <si>
    <t>IMG_20220827_084309.jpg</t>
  </si>
  <si>
    <t>Pour regarder de plus près la richesse de la nature ! Les végétaus et les animaux sont vivants car ils se nourrissent, ont besoin de lumière, d'eau, et ils grandissent. Réféchir avec les élèves à la différence entre les animaux et les végétaux permettra de trier ces 12 cartes en noir et blanc. Les plantes ne peuvent pas bouger par elles-mêmes, alors que les animaux le peuvent, etc. On se corrige en parlant avec les copains et en écoutant les arguments de chacun? Chiche !</t>
  </si>
  <si>
    <t>RqzCewjYzqQZmFYWSd3GAc</t>
  </si>
  <si>
    <t>Cartes Les Vertébrés MAMMIFERES OISEAUX POISSONS REPTILES AMPHIBIENS (24 images)</t>
  </si>
  <si>
    <t>https://drive.google.com/uc?id=1DyvRm6G1PYkRx8Ndd9AsTewVbgh8GXW5</t>
  </si>
  <si>
    <t>IMG_20220827_084506.jpg</t>
  </si>
  <si>
    <t>les MAMMIFERES allaitent leurs petits, les OISEAUX ont des plumes et peuvent voler, les POISSONS vivent dans l'eau, les REPTILES ont des écailles et rampent, les AMPHIBIENS vivent dans un milieu aquatique et terrestre ! On peut poser en haut de la table des étiquettes CATEGORIES (à fabriquer...) puis sous elles placer les images des animaux correspondants. Correction avec tous les copains et un adulte !</t>
  </si>
  <si>
    <t>FgPHvbJn79YAMLyZEbzZZd</t>
  </si>
  <si>
    <t>Boîte plastique contenant les jeux "Animal/Végétal" + "Les vertébrés"</t>
  </si>
  <si>
    <t>https://drive.google.com/uc?id=14HiQCI0HhQCXQnABrw-CiEUkcTbpqd0h</t>
  </si>
  <si>
    <t>IMG_20220828_174648.jpg</t>
  </si>
  <si>
    <t>6bRGP6vcUxo6q3poYBy73H</t>
  </si>
  <si>
    <t>Super IMAGIER vie quotidienne (cartes) + boîte métalique Princesse au petit pois</t>
  </si>
  <si>
    <t>https://drive.google.com/uc?id=1TGtyLhjq6YlZTngMwVW3pbgoj6pjIZn7</t>
  </si>
  <si>
    <t>IMG_20220828_180122.jpg</t>
  </si>
  <si>
    <t>De nombreuses cartes photos pr apprendre à catégoriser. 5 familles possibles : ANIMAUX, ACCESSOIRES de la vie quotidienne, VETEMENTS, CORPS HUMAIN, ALIMENTATION. Matériel ok pour détourner pour de la PHONO aussi ;^)</t>
  </si>
  <si>
    <t>FvfkvGRWSyWd3wykAmvDL9</t>
  </si>
  <si>
    <t>DOMINO FRUITS</t>
  </si>
  <si>
    <t>https://drive.google.com/uc?id=1WuLFIcXZmU7SPOWw7RpekwM5arKlOR2G</t>
  </si>
  <si>
    <t>IMG_20220830_115049.jpg</t>
  </si>
  <si>
    <t>8V8E6zNqhTf1SxdJ4MXYF2</t>
  </si>
  <si>
    <t>Loto Animaux sauvages</t>
  </si>
  <si>
    <t>https://drive.google.com/uc?id=1fajqmWxMDwuT4kQ3Xl9r2u7N0pxkbPGM</t>
  </si>
  <si>
    <t>IMG_20220830_115736.jpg</t>
  </si>
  <si>
    <t>68GCT8vSEpLbjbvHxFAijq</t>
  </si>
  <si>
    <t>Les traces des animaux, associe les animaux à leurs empreintes</t>
  </si>
  <si>
    <t>https://drive.google.com/uc?id=153_TQoR3XRiVVhjytrjFSs9fMOnt1YTW</t>
  </si>
  <si>
    <t>IMG_20220830_115843.jpg</t>
  </si>
  <si>
    <t>Dans la nature, pour savoir à quel animal appartiennent des empreintes, on regarde s'il y a des griffes, des sabots, on compte le nombre de doigts... On observe aussi leur position. Entrainons-nous avec ce petit jeu ! Associons les animaux à leurs empreintes ! L'adulte aidera à corriger les erreurs d'hypothèses. (cerf, chien, lièvre, hérisson, blaireau, écureuil)</t>
  </si>
  <si>
    <t>5v4SUPKdWXHt9dSDAmUmfA</t>
  </si>
  <si>
    <t>Les maisons des animaux, associe les cartes images animaux aux abris correspondants</t>
  </si>
  <si>
    <t>https://drive.google.com/uc?id=1oFly0IRvnuzDOeZodTrKCu9RxlUMkXZt</t>
  </si>
  <si>
    <t>IMG_20220830_120617.jpg</t>
  </si>
  <si>
    <t>Oiseau, abeille, fourmi, crapaud, cheval, poisson, lèvre, mouton, tortue, escargot, araignée, papillon</t>
  </si>
  <si>
    <t>WkiukB1gwJW9iX4yzYdkPV</t>
  </si>
  <si>
    <t>Boîte plastique contenant les jeux "Les traces des animaux" et "Les maisons des animaux"</t>
  </si>
  <si>
    <t>https://drive.google.com/uc?id=1hLUPqga3HoSBFxp3CVdjTTR079MiQ3Vi</t>
  </si>
  <si>
    <t>IMG_20220830_120729.jpg</t>
  </si>
  <si>
    <t>R7gqffz8eUdV2PAC6GbSY6</t>
  </si>
  <si>
    <t>Jeu de discrimination visuelle et d'association de formes d'animaux</t>
  </si>
  <si>
    <t>https://drive.google.com/uc?id=1qlbMlwWn3bIanIfH6fQtY-P4VceYwtOh</t>
  </si>
  <si>
    <t>IMG_20220830_120746.jpg</t>
  </si>
  <si>
    <t xml:space="preserve">Cartes à compter +  formes des animaux à associer. Album de reference "Le Petit Castor et l'écho". </t>
  </si>
  <si>
    <t>ABKK3hyuFR3Fi8823SiDRQ</t>
  </si>
  <si>
    <t>Animaux colorés pr trier et dénombrer</t>
  </si>
  <si>
    <t>https://drive.google.com/uc?id=1UJpqBzdTOFdPmCK2Yql9oJFrsD8knf_I</t>
  </si>
  <si>
    <t>IMG_20220830_120918.jpg</t>
  </si>
  <si>
    <t>20 oursons / 16 canetons + boîte de rangement contenant OURSONS 4 familles de couleur (bleue, rose, verte, jaune / 5 oursons par couleur) et CANETONS 4 familles de couleur (rouge, verte, jaune, bleue / 4 canetons par couleur)</t>
  </si>
  <si>
    <t>RHyJjV3NGujVQpmSXZJU8b</t>
  </si>
  <si>
    <t>Marteau de cuisine pour attendrir la viande ("attendrisseur" de viande)</t>
  </si>
  <si>
    <t>https://drive.google.com/uc?id=1q2RkxhFx2GuKaHCFCppMscxVn-lzt8xY</t>
  </si>
  <si>
    <t>IMG_20220830_121600.jpg</t>
  </si>
  <si>
    <t>Pour travailler le langage oral. Observation, hypothèse à formuler, échanges pour définir la nature de l'objet (composition, utilisation éventuelle,...) et le nommer.</t>
  </si>
  <si>
    <t>M3cfGPWPPT5ffXRjNBSGHf</t>
  </si>
  <si>
    <t>Memory de l'automne en rondins de bois</t>
  </si>
  <si>
    <t>https://drive.google.com/uc?id=17V632Jo-xgoW6WTUYzsHjsp1BEjpbcrl</t>
  </si>
  <si>
    <t>IMG_20220830_121720.jpg</t>
  </si>
  <si>
    <t xml:space="preserve">4 paires à retrouver ! Ecureuils, glands, pommes de pin, hérissons </t>
  </si>
  <si>
    <t>T97E4pkBSvz7XYSBsN3Q1</t>
  </si>
  <si>
    <t>Panière pour trier</t>
  </si>
  <si>
    <t>https://drive.google.com/uc?id=15EAW5T234qa5ZMMOC4t8XMHHsdV7GnQ5</t>
  </si>
  <si>
    <t>IMG_20220830_122957.jpg</t>
  </si>
  <si>
    <t>BUgJYxF5uxKvThdGJbzc3z</t>
  </si>
  <si>
    <t>Maths en photos</t>
  </si>
  <si>
    <t>https://drive.google.com/uc?id=1OKzaiPtNxYZyJ77S8DXvPnRvU36f6w_Z</t>
  </si>
  <si>
    <t>IMG_20220830_123927.jpg</t>
  </si>
  <si>
    <t>Matériel favorisant l'expression verbale des notions mathématiques de base : le nombre, la mesure, l'ordre, les formes, les couleurs. Une collection de photographies couleur de grand format à observer, à comparer, à questionner, collectivement ou en atelier restreint, représentant des objets, des lieux, des personnages dans des situations mathématisables proches de l'univers de l'enfant.</t>
  </si>
  <si>
    <t>U1JxokpVRdQABaPS7mu91Z</t>
  </si>
  <si>
    <t>Devinette, images et tableau pr la réponse</t>
  </si>
  <si>
    <t>https://drive.google.com/uc?id=1aSzEvj5MbzqcMCOn1c8E246O60Rlyd7c</t>
  </si>
  <si>
    <t>IMG_20220830_124616.jpg</t>
  </si>
  <si>
    <t>Pour une fin de journée,  avant d'aller à la cantine, autre.</t>
  </si>
  <si>
    <t>UmzjD4WDqBWewe69MWJ7yb</t>
  </si>
  <si>
    <t>Cartes Les animaux des continents (30) et boîte de rangement</t>
  </si>
  <si>
    <t>https://drive.google.com/uc?id=1nkDwGJNSDn_RCjYOivtuQYvHeEexuQj1</t>
  </si>
  <si>
    <t>IMG_20220830_124747.jpg</t>
  </si>
  <si>
    <t>Attention ! Les noms des animaux ne sont pas écrits au dos ! il faut donc les connaître, et aucune carte du monde n'est fournie avec cet atelier. Prévoir le nécessaire en amont.</t>
  </si>
  <si>
    <t>RVw9uuzC5AX5X1Zgxa3Cbe</t>
  </si>
  <si>
    <t>Cartes Vaches de différentes couleurs</t>
  </si>
  <si>
    <t>https://drive.google.com/uc?id=11HZwVXo2Jr_jp7BLzmWRG0eoT_CM8PKZ</t>
  </si>
  <si>
    <t>IMG_20220830_124907.jpg</t>
  </si>
  <si>
    <t>Il y a un album de référence, son titre ne me revient pas. Album chez Julien...</t>
  </si>
  <si>
    <t>FH6m2oyPBAAoPMzcioGZYP</t>
  </si>
  <si>
    <t>Animaux de la mer ou de l'océan (20)</t>
  </si>
  <si>
    <t>https://drive.google.com/uc?id=1yScQ6Vi5Nv_qH67pZdT2pPuPvRSicRZS</t>
  </si>
  <si>
    <t>IMG_20220830_125122.jpg</t>
  </si>
  <si>
    <t>Une vingtaine d'animaux à manipuler. Crabe avec une patte abimée.</t>
  </si>
  <si>
    <t>EfaihrWSjAUY329FQNgHCS</t>
  </si>
  <si>
    <t>Lot de miroirs Afrique de l'Ouest</t>
  </si>
  <si>
    <t>https://drive.google.com/uc?id=1_2vpjX0N-wf5NcCC7V72qgSaxpM3PL8k</t>
  </si>
  <si>
    <t>IMG_20220830_125308.jpg</t>
  </si>
  <si>
    <t>Pour se découvrir, se regarder, mimer une émotion etc</t>
  </si>
  <si>
    <t>TZ9nNH5ndpiFtsedE7KWaF</t>
  </si>
  <si>
    <t>Lot papillons véritables naturalisés</t>
  </si>
  <si>
    <t>https://drive.google.com/uc?id=1EeekOBg6Ida4Ku1QVJhL0xLoMmT5tWOo</t>
  </si>
  <si>
    <t>IMG_20220830_125410.jpg</t>
  </si>
  <si>
    <t>1 lot a été abimé par le temps, 2 papillons sont dégradés... moyen d'aborder les petits éboueurs de la nature après la vie Rq : prévoir des loupes pr mieux observer les couleurs, les antennes etc</t>
  </si>
  <si>
    <t>NqSVRSo4kGxX1AXeCWGh2f</t>
  </si>
  <si>
    <t>Papillon véritable de La Souterraine</t>
  </si>
  <si>
    <t>https://drive.google.com/uc?id=1tueF0EgQ9ZmjxsAeUa_w_XEbdRvNtXic</t>
  </si>
  <si>
    <t>IMG_20220830_125747.jpg</t>
  </si>
  <si>
    <t>Papillon de notre région trouvé dans la véranda de Julien // ABC de la nature</t>
  </si>
  <si>
    <t>GDYqDSTJZBi5wsazCi17Do</t>
  </si>
  <si>
    <t>Lot de cloches vache et clochettes diverses</t>
  </si>
  <si>
    <t>https://drive.google.com/uc?id=1C-YtPnLOptjqW6MRsyWEOKpC0Flti2Az</t>
  </si>
  <si>
    <t>IMG_20220830_154127.jpg</t>
  </si>
  <si>
    <t>Pour une séance Agir et s'exprimer avec son corps sans faire tinter les cloches ! ou bien pour de la discrimination auditive genre Kim ouïe...</t>
  </si>
  <si>
    <t>4jS2QegVAhbWDLpQdaw1EN</t>
  </si>
  <si>
    <t>Puzzle bois Pomme-vers gourmand</t>
  </si>
  <si>
    <t>https://drive.google.com/uc?id=1Anj6kmZ1JQSrFNe6BfmXUSUrcmPuu5_C</t>
  </si>
  <si>
    <t>IMG_20220830_154740.jpg</t>
  </si>
  <si>
    <t>A proposer qd album la petite chenille qui fait des trous, ou pour l'automne et les fruits/légumes en découverte du monde</t>
  </si>
  <si>
    <t>VzPaLu5zBtceNdBhyt7pMw</t>
  </si>
  <si>
    <t>Lot oeufs (autruche, oie, oeuf de poule rebondissant) différentes tailles</t>
  </si>
  <si>
    <t>https://drive.google.com/uc?id=1ekx_QWKUzFqgm67MtVb06SNWFnlc9ysM</t>
  </si>
  <si>
    <t>IMG_20220830_155529.jpg</t>
  </si>
  <si>
    <t>Pr séance DDM sur la nature ou pour des maths (grandeurs)</t>
  </si>
  <si>
    <t>PiBHgG3SCwNsHUtDE2kjRW</t>
  </si>
  <si>
    <t>Lot de 4 plateaux oiseaux colorés</t>
  </si>
  <si>
    <t>https://drive.google.com/uc?id=134und2nSdnhIT-c-VP2_hpBjK0J15SWZ</t>
  </si>
  <si>
    <t>IMG_20220830_155541.jpg</t>
  </si>
  <si>
    <t>Pr disposer sur la table d'observation des modèles de nids d'oiseaux trouvés sur les chemins, dans les haies taillées etc et rester dans la thématique !</t>
  </si>
  <si>
    <t>3WLVqg7qxTo7H7nJYWTMYT</t>
  </si>
  <si>
    <t>Lot formes noires d'animaux et les cartes à dénombrer associées</t>
  </si>
  <si>
    <t>https://drive.google.com/uc?id=1f_mFly-jwV4HDOeXvM0w2i6KKvlIt8JT</t>
  </si>
  <si>
    <t>IMG_20220830_155759.jpg</t>
  </si>
  <si>
    <t>Penser à l'album photos-formes des animaux du zoo de Beauval (chez Noémie). L'enfant voit les formes en noir et essaie de deviner qui se cache sous les caches justement. en soulevant le cache, il découvre une photo en couleurs de l'animal recherché. Excellent outil en DDM</t>
  </si>
  <si>
    <t>5QrSBrV6n7thREjBrJzsEt</t>
  </si>
  <si>
    <t>Lot "Les traces des animaux"</t>
  </si>
  <si>
    <t>https://drive.google.com/uc?id=1hokb5l5GgnedHEx00km-Efi4_GzRvO5S</t>
  </si>
  <si>
    <t>IMG_20220830_155928.jpg</t>
  </si>
  <si>
    <t>22 cartes en tout. Cartes animaux et cartes empreintes + animal en petit</t>
  </si>
  <si>
    <t>BFsyYyz5ENrNjmGKKSYiLq</t>
  </si>
  <si>
    <t>Boîte de rangement de 2 jeux de cartes animaux</t>
  </si>
  <si>
    <t>https://drive.google.com/uc?id=1KNt-eGL1UtYbaj6oKb1AZQqLP2Ms7q50</t>
  </si>
  <si>
    <t>IMG_20220830_161012.jpg</t>
  </si>
  <si>
    <t>CYs11U6J7PWiXSEAWeYzpa</t>
  </si>
  <si>
    <t>Lot sac tissu africain + animaux d'Afrique</t>
  </si>
  <si>
    <t>https://drive.google.com/uc?id=1Rxbld8RUXrHAECPZW36vntmD3y5xFE6Y</t>
  </si>
  <si>
    <t>IMG_20220830_163417.jpg</t>
  </si>
  <si>
    <t>Fait partie de la malette thématique "ANIMAUX". Pour ce sac AFRIQUE : 3 gorilles (2 adultes, un petit), 1 guépard, 3 éléphants (2 adultes, 1 éléphanteau), 3 crocodiles (2 adultes, 1 petit), 1 tortue terrestre luth, 1 rhinocéros gris, 1 okapi, 2 hippopotames, 1 girafe, 1 zèbre, 2 dromadaires (femelle, mâle), 1 chameau, 1 oran-outang, 1 femelle chimpanzé+bb agrippé sur le ventre, 1 dodo (espèce de l'île Maurice disparue depuis le XVIIème siècle pour sensibiliser à la fragilité de la nature et le besoin de préserver la biodiversité), 1 lémurien+bb sur le dos (ou maki cata?), 2 gazelles (1 adulte, 1 petit), 1 lion, 1 lionne+lionceau dans sa gueule</t>
  </si>
  <si>
    <t>8ADfXCrcri9HadpFAyoQrZ</t>
  </si>
  <si>
    <t>Lot sac tissu des bois + animaux de la forêt</t>
  </si>
  <si>
    <t>https://drive.google.com/uc?id=1e_HdMYrjC5l94McudV8a-C8zqHF4DeDS</t>
  </si>
  <si>
    <t>IMG_20220830_164148.jpg</t>
  </si>
  <si>
    <t>Fait partie de la malette thématique "ANIMAUX". Pour ce sac ANIMAUX DES BOIS : 1 rapace (hibou avec ses aigrettes), 1 renard, 1 blaireau, 1 hérisson, 1 cerf, 1 biche, 2 louves.</t>
  </si>
  <si>
    <t>MJyvMGr74dYgpK8iQVx6Av</t>
  </si>
  <si>
    <t>Lot sac tissu Les maisons/fermes + animaux de la ferme</t>
  </si>
  <si>
    <t>https://drive.google.com/uc?id=1AYha-E23t1syX_dBZO4prqORzHBEVP0L</t>
  </si>
  <si>
    <t>IMG_20220830_165047.jpg</t>
  </si>
  <si>
    <t>Fait partie de la malette thématique "ANIMAUX". Pour ce sac ANIMAUX DE LA FERME : 1 taureau, 1 vache, 2 veaux, 1 jument blanche, 1 étalon marron, 1 chien, 1 chienne, 1 truie, 1 porcelet, 1 brebis, 2 agneaux, 1 chèvre, 2 chevrots, 1 oie, 1 coq, 2 poules, 1 chat, 1 lapin, 1 ânesse, 1 âne.</t>
  </si>
  <si>
    <t>Sz4W7QsiEYKF1YrDKemBb6</t>
  </si>
  <si>
    <t>Lot sac tissu ASIE + les animaux d'Asie</t>
  </si>
  <si>
    <t>https://drive.google.com/uc?id=1vIXLOOyhLh-EcQ-kT59XWGSoxAWSFD5D</t>
  </si>
  <si>
    <t>IMG_20220830_165333.jpg</t>
  </si>
  <si>
    <t>Fait partie de la malette thématique "ANIMAUX". Pour ce sac ANIMAUX D'ASIE : 2 pandas (1 adulte, 1 petit), 1 tigre blanc, 1 bb tigre roux, 1 lynx.</t>
  </si>
  <si>
    <t>AUtDFKBm6QdCXp2PjMwyqR</t>
  </si>
  <si>
    <t>Animaux d'AUSTRALIE Océanie</t>
  </si>
  <si>
    <t>https://drive.google.com/uc?id=1HUJX9ePCvCuJEqJc6MNMmXL1IvrcqC-t</t>
  </si>
  <si>
    <t>IMG_20220830_184019.jpg</t>
  </si>
  <si>
    <t>Fait partie de la malette thématique "ANIMAUX". Pour ce sac ANIMAUX D AUSTRALIE OCEANIE : 1 tortue marine, 1 ornithorynque, 2 kangourous (1 adulte femelle + bb dans la poche ventrale, 1 petit)</t>
  </si>
  <si>
    <t>SmiE8vjGp2wSyV1V7Ty1iJ</t>
  </si>
  <si>
    <t>Animaux d'ARCTIQUE et d'AMERIQUE</t>
  </si>
  <si>
    <t>https://drive.google.com/uc?id=1rkb51qCIJeac7R9tWXQzCBjnrjSUA6ui</t>
  </si>
  <si>
    <t>IMG_20220830_184355.jpg</t>
  </si>
  <si>
    <t>Fait partie de la malette thématique "ANIMAUX". Pour ce sac ANIMAUX D'ARCTIQUE et D'AMERIQUE : 1 ours polaire, 1 pingouin // 1 ours noir, 1 bison.</t>
  </si>
  <si>
    <t>Ms6zEyb9D8r2UC9uAsTKoU</t>
  </si>
  <si>
    <t>Cartes séquentielles album La grosse faim de Petit Bonhomme (12)</t>
  </si>
  <si>
    <t>https://drive.google.com/uc?id=1tnkj2BsQCL6ek5kH_JqXUau-fwLKLGPl</t>
  </si>
  <si>
    <t>IMG_20220830_184739.jpg</t>
  </si>
  <si>
    <t>Album La grosse faim de Petit Bonhomme. il veut du pain, mais voilà, le boulanger a besoin de farine pour faire le pain, la paysan de blé à semer, le meunier d'épi de blé pour moudre et faire la farine, d'eau de la rivière pour faire pousser de l'herbe pour le cheval qui fera du crottin pour enrichir la terre... Petit bonhomme n'est pas rendu ! Images séquentielles, images à associer. Possibilité de raconter l'histoire en s'appuyant dessus.</t>
  </si>
  <si>
    <t>8HCFmTKxiSyLMadGrZK6nk</t>
  </si>
  <si>
    <t>Cartes séquentielles album Toujours rien?</t>
  </si>
  <si>
    <t>https://drive.google.com/uc?id=1DadJQxDPlVtpEP3QChyXqoIEhUrjGzbg</t>
  </si>
  <si>
    <t>IMG_20220830_201124.jpg</t>
  </si>
  <si>
    <t>Album Toujours rien? Le personnage plante une graine, recouvre de terre, arrose, voit germer, et oh ! une jolie fleur. Le cycle de la vie d'une plante, enfin, une partie ! car on ne sait pas ce qu'elle devient une fois cueillie</t>
  </si>
  <si>
    <t>BUEBtsxK5cekpLMJjfCuae</t>
  </si>
  <si>
    <t>Boules de Qi Gong ASIE</t>
  </si>
  <si>
    <t>https://drive.google.com/uc?id=1FJP21-mEeSmItAT-l9S33zV21qHy6Vra</t>
  </si>
  <si>
    <t>Penser à les proposer pr thématique ASIE ou Kim Ouïe</t>
  </si>
  <si>
    <t>EJuPGVrhj91x8onTQnriFN</t>
  </si>
  <si>
    <t>Jeu COCOTI</t>
  </si>
  <si>
    <t xml:space="preserve">matériel </t>
  </si>
  <si>
    <t>FCjhhLKPm6J7mxcVA9NjC3</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</si>
</sst>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color theme="1"/>
      <name val="Arial"/>
      <scheme val="minor"/>
    </font>
    <font>
      <b/>
      <color theme="1"/>
      <name val="Arial"/>
      <scheme val="minor"/>
    </font>
    <font>
      <u/>
      <color rgb="FF0000FF"/>
    </font>
    <font>
      <color rgb="FF000000"/>
      <name val="&quot;Arial&quot;"/>
    </font>
    <font>
      <u/>
      <color rgb="FF0000FF"/>
    </font>
  </fonts>
  <fills count="3">
    <fill>
      <patternFill patternType="none"/>
    </fill>
    <fill>
      <patternFill patternType="lightGray"/>
    </fill>
    <fill>
      <patternFill patternType="solid">
        <fgColor rgb="FF3B84DB"/>
        <bgColor rgb="FF3B84DB"/>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xf borderId="0" fillId="0" fontId="1" numFmtId="0" xfId="0" applyFont="1"/>
    <xf borderId="0" fillId="2" fontId="2" numFmtId="0" xfId="0" applyAlignment="1" applyFill="1" applyFont="1">
      <alignment readingOrder="0"/>
    </xf>
    <xf borderId="0" fillId="0" fontId="3" numFmtId="0" xfId="0" applyAlignment="1" applyFont="1">
      <alignment readingOrder="0"/>
    </xf>
    <xf borderId="0" fillId="0" fontId="1" numFmtId="0" xfId="0" applyAlignment="1" applyFont="1">
      <alignment readingOrder="0"/>
    </xf>
    <xf borderId="0" fillId="2" fontId="1" numFmtId="0" xfId="0" applyAlignment="1" applyFill="1" applyFont="1">
      <alignment readingOrder="0"/>
    </xf>
    <xf borderId="0" fillId="0" fontId="1" numFmtId="0" xfId="0" applyAlignment="1" applyFont="1">
      <alignment readingOrder="0"/>
    </xf>
    <xf borderId="0" fillId="0" fontId="4" numFmtId="0" xfId="0" applyAlignment="1" applyFont="1">
      <alignment readingOrder="0"/>
    </xf>
    <xf borderId="0" fillId="0" fontId="5" numFmtId="0" xfId="0" applyFont="1"/>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drive.google.com/file/d/16tB8daDDuxHNeLiS-hS4LBylukwLBZEV/view?usp=sharing" TargetMode="External"/><Relationship Id="rId194" Type="http://schemas.openxmlformats.org/officeDocument/2006/relationships/hyperlink" Target="https://drive.google.com/file/d/16L3N2gG3EUFjzkl4bkHf_ZUMlWC5HeHc/view?usp=sharing" TargetMode="External"/><Relationship Id="rId193" Type="http://schemas.openxmlformats.org/officeDocument/2006/relationships/hyperlink" Target="https://drive.google.com/thumbnail?id=15Io3QyrwS2GP_qpn7ys67yU1hPqHqyDA&amp;sz=s1000" TargetMode="External"/><Relationship Id="rId192" Type="http://schemas.openxmlformats.org/officeDocument/2006/relationships/hyperlink" Target="https://drive.google.com/file/d/15Io3QyrwS2GP_qpn7ys67yU1hPqHqyDA/view?usp=sharing" TargetMode="External"/><Relationship Id="rId191" Type="http://schemas.openxmlformats.org/officeDocument/2006/relationships/hyperlink" Target="https://drive.google.com/thumbnail?id=16tB8daDDuxHNeLiS-hS4LBylukwLBZEV&amp;sz=s1000" TargetMode="External"/><Relationship Id="rId187" Type="http://schemas.openxmlformats.org/officeDocument/2006/relationships/hyperlink" Target="https://drive.google.com/thumbnail?id=15J9JctVjITda-eZxBO-hSq8k2fBPd6Qw&amp;sz=s1000" TargetMode="External"/><Relationship Id="rId186" Type="http://schemas.openxmlformats.org/officeDocument/2006/relationships/hyperlink" Target="https://drive.google.com/file/d/15J9JctVjITda-eZxBO-hSq8k2fBPd6Qw/view?usp=sharing" TargetMode="External"/><Relationship Id="rId185" Type="http://schemas.openxmlformats.org/officeDocument/2006/relationships/hyperlink" Target="https://drive.google.com/thumbnail?id=165uf1ytDAn_PJ5Fn4tphjJ9nJJWPkl3v&amp;sz=s1000" TargetMode="External"/><Relationship Id="rId184" Type="http://schemas.openxmlformats.org/officeDocument/2006/relationships/hyperlink" Target="https://drive.google.com/file/d/165uf1ytDAn_PJ5Fn4tphjJ9nJJWPkl3v/view?usp=sharing" TargetMode="External"/><Relationship Id="rId189" Type="http://schemas.openxmlformats.org/officeDocument/2006/relationships/hyperlink" Target="https://drive.google.com/thumbnail?id=16ak79OtomifTTsJOBRLgMKjXoynVh0Zr&amp;sz=s1000" TargetMode="External"/><Relationship Id="rId188" Type="http://schemas.openxmlformats.org/officeDocument/2006/relationships/hyperlink" Target="https://drive.google.com/file/d/16ak79OtomifTTsJOBRLgMKjXoynVh0Zr/view?usp=sharing" TargetMode="External"/><Relationship Id="rId183" Type="http://schemas.openxmlformats.org/officeDocument/2006/relationships/hyperlink" Target="https://drive.google.com/thumbnail?id=16pgxjU_BU9M_p-MIWiWdU7gkS-1prA9m&amp;sz=s1000" TargetMode="External"/><Relationship Id="rId182" Type="http://schemas.openxmlformats.org/officeDocument/2006/relationships/hyperlink" Target="https://drive.google.com/file/d/16pgxjU_BU9M_p-MIWiWdU7gkS-1prA9m/view?usp=sharing" TargetMode="External"/><Relationship Id="rId181" Type="http://schemas.openxmlformats.org/officeDocument/2006/relationships/hyperlink" Target="https://drive.google.com/thumbnail?id=15mVf4z32fr1EG3YoA0OMPHmU2ptcTxS2&amp;sz=s1000" TargetMode="External"/><Relationship Id="rId180" Type="http://schemas.openxmlformats.org/officeDocument/2006/relationships/hyperlink" Target="https://drive.google.com/file/d/15mVf4z32fr1EG3YoA0OMPHmU2ptcTxS2/view?usp=sharing" TargetMode="External"/><Relationship Id="rId176" Type="http://schemas.openxmlformats.org/officeDocument/2006/relationships/hyperlink" Target="https://drive.google.com/file/d/15LGvn0esrmDWMA6cDaEqd_Z_XgNfJpDF/view?usp=sharing" TargetMode="External"/><Relationship Id="rId297" Type="http://schemas.openxmlformats.org/officeDocument/2006/relationships/hyperlink" Target="https://drive.google.com/thumbnail?id=17DU2aXHhl07bL7jqhcqabl2yUN4v71v2&amp;sz=s1000" TargetMode="External"/><Relationship Id="rId175" Type="http://schemas.openxmlformats.org/officeDocument/2006/relationships/hyperlink" Target="https://drive.google.com/thumbnail?id=16ohdSs5JgUKTK-2PtzMr18Hs_nOiRQ2y&amp;sz=s1000" TargetMode="External"/><Relationship Id="rId296" Type="http://schemas.openxmlformats.org/officeDocument/2006/relationships/hyperlink" Target="https://drive.google.com/file/d/17DU2aXHhl07bL7jqhcqabl2yUN4v71v2/view?usp=sharing" TargetMode="External"/><Relationship Id="rId174" Type="http://schemas.openxmlformats.org/officeDocument/2006/relationships/hyperlink" Target="https://drive.google.com/file/d/16ohdSs5JgUKTK-2PtzMr18Hs_nOiRQ2y/view?usp=sharing" TargetMode="External"/><Relationship Id="rId295" Type="http://schemas.openxmlformats.org/officeDocument/2006/relationships/hyperlink" Target="https://drive.google.com/thumbnail?id=1FoyPp9afjdKFD6gTgidQzf7TDo1omgjd&amp;sz=s1000" TargetMode="External"/><Relationship Id="rId173" Type="http://schemas.openxmlformats.org/officeDocument/2006/relationships/hyperlink" Target="https://drive.google.com/thumbnail?id=162BzdY6AgQihvv89aiJe75AVljbhcCVz&amp;sz=s1000" TargetMode="External"/><Relationship Id="rId294" Type="http://schemas.openxmlformats.org/officeDocument/2006/relationships/hyperlink" Target="https://drive.google.com/file/d/1FoyPp9afjdKFD6gTgidQzf7TDo1omgjd/view?usp=sharing" TargetMode="External"/><Relationship Id="rId179" Type="http://schemas.openxmlformats.org/officeDocument/2006/relationships/hyperlink" Target="https://drive.google.com/thumbnail?id=15yB_1zA_4tGv-zoI4ObWEOJPffsghC3s&amp;sz=s1000" TargetMode="External"/><Relationship Id="rId178" Type="http://schemas.openxmlformats.org/officeDocument/2006/relationships/hyperlink" Target="https://drive.google.com/file/d/15yB_1zA_4tGv-zoI4ObWEOJPffsghC3s/view?usp=sharing" TargetMode="External"/><Relationship Id="rId299" Type="http://schemas.openxmlformats.org/officeDocument/2006/relationships/hyperlink" Target="https://drive.google.com/thumbnail?id=178p91u25MB0o-1S2LCCZwb9paz_pka5A&amp;sz=s1000" TargetMode="External"/><Relationship Id="rId177" Type="http://schemas.openxmlformats.org/officeDocument/2006/relationships/hyperlink" Target="https://drive.google.com/thumbnail?id=15LGvn0esrmDWMA6cDaEqd_Z_XgNfJpDF&amp;sz=s1000" TargetMode="External"/><Relationship Id="rId298" Type="http://schemas.openxmlformats.org/officeDocument/2006/relationships/hyperlink" Target="https://drive.google.com/file/d/178p91u25MB0o-1S2LCCZwb9paz_pka5A/view?usp=sharing" TargetMode="External"/><Relationship Id="rId198" Type="http://schemas.openxmlformats.org/officeDocument/2006/relationships/hyperlink" Target="https://drive.google.com/file/d/15q6IDUs1pnV_3bYF5Y6BqzOvbB4GLNm3/view?usp=sharing" TargetMode="External"/><Relationship Id="rId197" Type="http://schemas.openxmlformats.org/officeDocument/2006/relationships/hyperlink" Target="https://drive.google.com/thumbnail?id=15qcPuxe2f3Mp0449lyZWTJtwp3xfrkui&amp;sz=s1000" TargetMode="External"/><Relationship Id="rId196" Type="http://schemas.openxmlformats.org/officeDocument/2006/relationships/hyperlink" Target="https://drive.google.com/file/d/15qcPuxe2f3Mp0449lyZWTJtwp3xfrkui/view?usp=sharing" TargetMode="External"/><Relationship Id="rId195" Type="http://schemas.openxmlformats.org/officeDocument/2006/relationships/hyperlink" Target="https://drive.google.com/thumbnail?id=16L3N2gG3EUFjzkl4bkHf_ZUMlWC5HeHc&amp;sz=s1000" TargetMode="External"/><Relationship Id="rId199" Type="http://schemas.openxmlformats.org/officeDocument/2006/relationships/hyperlink" Target="https://drive.google.com/thumbnail?id=15q6IDUs1pnV_3bYF5Y6BqzOvbB4GLNm3&amp;sz=s1000" TargetMode="External"/><Relationship Id="rId150" Type="http://schemas.openxmlformats.org/officeDocument/2006/relationships/hyperlink" Target="https://drive.google.com/file/d/13wzW_DV4N1CF7SM_-eSJiKN6XCvHdiHa/view?usp=sharing" TargetMode="External"/><Relationship Id="rId271" Type="http://schemas.openxmlformats.org/officeDocument/2006/relationships/hyperlink" Target="https://drive.google.com/thumbnail?id=1FXYTirph-7GQ-Zki0_WSEeDEtkHpyvyW&amp;sz=s1000" TargetMode="External"/><Relationship Id="rId392" Type="http://schemas.openxmlformats.org/officeDocument/2006/relationships/hyperlink" Target="https://drive.google.com/thumbnail?id=1AieWVsiYDqsYg-58EurDBciJ3-IGECXI&amp;sz=s1000" TargetMode="External"/><Relationship Id="rId270" Type="http://schemas.openxmlformats.org/officeDocument/2006/relationships/hyperlink" Target="https://drive.google.com/file/d/1FXYTirph-7GQ-Zki0_WSEeDEtkHpyvyW/view?usp=sharing" TargetMode="External"/><Relationship Id="rId391" Type="http://schemas.openxmlformats.org/officeDocument/2006/relationships/hyperlink" Target="https://drive.google.com/file/d/1AieWVsiYDqsYg-58EurDBciJ3-IGECXI/view?usp=sharing" TargetMode="External"/><Relationship Id="rId390" Type="http://schemas.openxmlformats.org/officeDocument/2006/relationships/hyperlink" Target="https://drive.google.com/thumbnail?id=1Ad_vUspE1J80ES6T_alNsFXSrpB02v--&amp;sz=s1000" TargetMode="External"/><Relationship Id="rId1" Type="http://schemas.openxmlformats.org/officeDocument/2006/relationships/hyperlink" Target="https://drive.google.com/file/d/11TFpQ2Fkbz7IsPaXBli1-tXIpUwc4hqk/view?usp=sharing" TargetMode="External"/><Relationship Id="rId2" Type="http://schemas.openxmlformats.org/officeDocument/2006/relationships/hyperlink" Target="https://drive.google.com/file/d/10tYQg2BbDK5QcWYCCtfqGGCs0-iOaoTR/view?usp=sharing" TargetMode="External"/><Relationship Id="rId3" Type="http://schemas.openxmlformats.org/officeDocument/2006/relationships/hyperlink" Target="https://drive.google.com/thumbnail?id=10tYQg2BbDK5QcWYCCtfqGGCs0-iOaoTR&amp;sz=s1000" TargetMode="External"/><Relationship Id="rId149" Type="http://schemas.openxmlformats.org/officeDocument/2006/relationships/hyperlink" Target="https://drive.google.com/thumbnail?id=14QFJYVhPPWNWMBfWgAaZviOSGAemUlNy&amp;sz=s1000" TargetMode="External"/><Relationship Id="rId4" Type="http://schemas.openxmlformats.org/officeDocument/2006/relationships/hyperlink" Target="https://drive.google.com/file/d/1-am2fDKsC8aGJwheVb9RSaKGQxrPLvqT/view?usp=sharing" TargetMode="External"/><Relationship Id="rId148" Type="http://schemas.openxmlformats.org/officeDocument/2006/relationships/hyperlink" Target="https://drive.google.com/file/d/14QFJYVhPPWNWMBfWgAaZviOSGAemUlNy/view?usp=sharing" TargetMode="External"/><Relationship Id="rId269" Type="http://schemas.openxmlformats.org/officeDocument/2006/relationships/hyperlink" Target="https://drive.google.com/thumbnail?id=1Ett2RuVFUtqtL6Fbnd8nvkP_KC268dCA&amp;sz=s1000" TargetMode="External"/><Relationship Id="rId9" Type="http://schemas.openxmlformats.org/officeDocument/2006/relationships/hyperlink" Target="https://drive.google.com/thumbnail?id=1-BD-IZSd_FNWT2rhbxk-vmbLzuudh7GC&amp;sz=s1000" TargetMode="External"/><Relationship Id="rId143" Type="http://schemas.openxmlformats.org/officeDocument/2006/relationships/hyperlink" Target="https://drive.google.com/thumbnail?id=13HfBlTxxw8v5WEWil2HllBo60ZTcL1qk&amp;sz=s1000" TargetMode="External"/><Relationship Id="rId264" Type="http://schemas.openxmlformats.org/officeDocument/2006/relationships/hyperlink" Target="https://drive.google.com/file/d/1F11M6ogafq2wWSNOirc3h4o0uu1Y9X-S/view?usp=sharing" TargetMode="External"/><Relationship Id="rId385" Type="http://schemas.openxmlformats.org/officeDocument/2006/relationships/hyperlink" Target="https://drive.google.com/file/d/1AemM4RJYalF2hp-quV9Vhv5gvYjEb6U_/view?usp=sharing" TargetMode="External"/><Relationship Id="rId142" Type="http://schemas.openxmlformats.org/officeDocument/2006/relationships/hyperlink" Target="https://drive.google.com/file/d/13HfBlTxxw8v5WEWil2HllBo60ZTcL1qk/view?usp=sharing" TargetMode="External"/><Relationship Id="rId263" Type="http://schemas.openxmlformats.org/officeDocument/2006/relationships/hyperlink" Target="https://drive.google.com/thumbnail?id=1F6-8zHcq2wjOkgsVfZPV7GNpCHab2EPN&amp;sz=s1000" TargetMode="External"/><Relationship Id="rId384" Type="http://schemas.openxmlformats.org/officeDocument/2006/relationships/hyperlink" Target="https://drive.google.com/thumbnail?id=1AchBz_BChaGFWJavtWFwGR1S0TgSDTxf&amp;sz=s1000" TargetMode="External"/><Relationship Id="rId141" Type="http://schemas.openxmlformats.org/officeDocument/2006/relationships/hyperlink" Target="https://drive.google.com/thumbnail?id=149byJnrFSlfg_n_y-VplvDE0BvwVgi80&amp;sz=s1000" TargetMode="External"/><Relationship Id="rId262" Type="http://schemas.openxmlformats.org/officeDocument/2006/relationships/hyperlink" Target="https://drive.google.com/file/d/1F6-8zHcq2wjOkgsVfZPV7GNpCHab2EPN/view?usp=sharing" TargetMode="External"/><Relationship Id="rId383" Type="http://schemas.openxmlformats.org/officeDocument/2006/relationships/hyperlink" Target="https://drive.google.com/file/d/1AchBz_BChaGFWJavtWFwGR1S0TgSDTxf/view?usp=sharing" TargetMode="External"/><Relationship Id="rId140" Type="http://schemas.openxmlformats.org/officeDocument/2006/relationships/hyperlink" Target="https://drive.google.com/file/d/149byJnrFSlfg_n_y-VplvDE0BvwVgi80/view?usp=sharing" TargetMode="External"/><Relationship Id="rId261" Type="http://schemas.openxmlformats.org/officeDocument/2006/relationships/hyperlink" Target="https://drive.google.com/thumbnail?id=1F9NzSME3O7Z8ALb0Vbc6KO_F6r3SbJ_N&amp;sz=s1000" TargetMode="External"/><Relationship Id="rId382" Type="http://schemas.openxmlformats.org/officeDocument/2006/relationships/hyperlink" Target="https://drive.google.com/thumbnail?id=1AFwEdoTyE2-lyDkQQG7FgB5u3zXgQTi-&amp;sz=s1000" TargetMode="External"/><Relationship Id="rId5" Type="http://schemas.openxmlformats.org/officeDocument/2006/relationships/hyperlink" Target="https://drive.google.com/thumbnail?id=1-am2fDKsC8aGJwheVb9RSaKGQxrPLvqT&amp;sz=s1000" TargetMode="External"/><Relationship Id="rId147" Type="http://schemas.openxmlformats.org/officeDocument/2006/relationships/hyperlink" Target="https://drive.google.com/thumbnail?id=14cpA6wBW5O0jboeDalsgtjasCi5yoL2-&amp;sz=s1000" TargetMode="External"/><Relationship Id="rId268" Type="http://schemas.openxmlformats.org/officeDocument/2006/relationships/hyperlink" Target="https://drive.google.com/file/d/1Ett2RuVFUtqtL6Fbnd8nvkP_KC268dCA/view?usp=sharing" TargetMode="External"/><Relationship Id="rId389" Type="http://schemas.openxmlformats.org/officeDocument/2006/relationships/hyperlink" Target="https://drive.google.com/file/d/1Ad_vUspE1J80ES6T_alNsFXSrpB02v--/view?usp=sharing" TargetMode="External"/><Relationship Id="rId6" Type="http://schemas.openxmlformats.org/officeDocument/2006/relationships/hyperlink" Target="https://drive.google.com/file/d/10tRPHLWU3yg3CEF2QVICZU4wmuZnUZig/view?usp=sharing" TargetMode="External"/><Relationship Id="rId146" Type="http://schemas.openxmlformats.org/officeDocument/2006/relationships/hyperlink" Target="https://drive.google.com/file/d/14cpA6wBW5O0jboeDalsgtjasCi5yoL2-/view?usp=sharing" TargetMode="External"/><Relationship Id="rId267" Type="http://schemas.openxmlformats.org/officeDocument/2006/relationships/hyperlink" Target="https://drive.google.com/thumbnail?id=1EttLjINyeYrEY_nFS0WTrp2l1X0qdc3j&amp;sz=s1000" TargetMode="External"/><Relationship Id="rId388" Type="http://schemas.openxmlformats.org/officeDocument/2006/relationships/hyperlink" Target="https://drive.google.com/thumbnail?id=1AeSq5ZEcizCfFUufveR9w52um6myvqZa&amp;sz=s1000" TargetMode="External"/><Relationship Id="rId7" Type="http://schemas.openxmlformats.org/officeDocument/2006/relationships/hyperlink" Target="https://drive.google.com/thumbnail?id=10tRPHLWU3yg3CEF2QVICZU4wmuZnUZig&amp;sz=s1000" TargetMode="External"/><Relationship Id="rId145" Type="http://schemas.openxmlformats.org/officeDocument/2006/relationships/hyperlink" Target="https://drive.google.com/thumbnail?id=13XZBmTFXH5N8DYuPh9MuzWGMligds558&amp;sz=s1000" TargetMode="External"/><Relationship Id="rId266" Type="http://schemas.openxmlformats.org/officeDocument/2006/relationships/hyperlink" Target="https://drive.google.com/file/d/1EttLjINyeYrEY_nFS0WTrp2l1X0qdc3j/view?usp=sharing" TargetMode="External"/><Relationship Id="rId387" Type="http://schemas.openxmlformats.org/officeDocument/2006/relationships/hyperlink" Target="https://drive.google.com/file/d/1AeSq5ZEcizCfFUufveR9w52um6myvqZa/view?usp=sharing" TargetMode="External"/><Relationship Id="rId8" Type="http://schemas.openxmlformats.org/officeDocument/2006/relationships/hyperlink" Target="https://drive.google.com/file/d/1-BD-IZSd_FNWT2rhbxk-vmbLzuudh7GC/view?usp=sharing" TargetMode="External"/><Relationship Id="rId144" Type="http://schemas.openxmlformats.org/officeDocument/2006/relationships/hyperlink" Target="https://drive.google.com/file/d/13XZBmTFXH5N8DYuPh9MuzWGMligds558/view?usp=sharing" TargetMode="External"/><Relationship Id="rId265" Type="http://schemas.openxmlformats.org/officeDocument/2006/relationships/hyperlink" Target="https://drive.google.com/thumbnail?id=1F11M6ogafq2wWSNOirc3h4o0uu1Y9X-S&amp;sz=s1000" TargetMode="External"/><Relationship Id="rId386" Type="http://schemas.openxmlformats.org/officeDocument/2006/relationships/hyperlink" Target="https://drive.google.com/thumbnail?id=1AemM4RJYalF2hp-quV9Vhv5gvYjEb6U_&amp;sz=s1000" TargetMode="External"/><Relationship Id="rId260" Type="http://schemas.openxmlformats.org/officeDocument/2006/relationships/hyperlink" Target="https://drive.google.com/file/d/1F9NzSME3O7Z8ALb0Vbc6KO_F6r3SbJ_N/view?usp=sharing" TargetMode="External"/><Relationship Id="rId381" Type="http://schemas.openxmlformats.org/officeDocument/2006/relationships/hyperlink" Target="https://drive.google.com/file/d/1AFwEdoTyE2-lyDkQQG7FgB5u3zXgQTi-/view?usp=sharing" TargetMode="External"/><Relationship Id="rId380" Type="http://schemas.openxmlformats.org/officeDocument/2006/relationships/hyperlink" Target="http://aritma.net/" TargetMode="External"/><Relationship Id="rId139" Type="http://schemas.openxmlformats.org/officeDocument/2006/relationships/hyperlink" Target="https://drive.google.com/thumbnail?id=138IGg16xD32FUSuQU49dBxsaVeAAznYf&amp;sz=s1000" TargetMode="External"/><Relationship Id="rId138" Type="http://schemas.openxmlformats.org/officeDocument/2006/relationships/hyperlink" Target="https://drive.google.com/file/d/138IGg16xD32FUSuQU49dBxsaVeAAznYf/view?usp=sharing" TargetMode="External"/><Relationship Id="rId259" Type="http://schemas.openxmlformats.org/officeDocument/2006/relationships/hyperlink" Target="https://drive.google.com/thumbnail?id=1EhIpnMMilUT8c0h1UUika1p2mPaY8SeU&amp;sz=s1000" TargetMode="External"/><Relationship Id="rId137" Type="http://schemas.openxmlformats.org/officeDocument/2006/relationships/hyperlink" Target="https://drive.google.com/thumbnail?id=13SYPslj9r91mEYh1jfGJF2sUAlOXRdn8&amp;sz=s1000" TargetMode="External"/><Relationship Id="rId258" Type="http://schemas.openxmlformats.org/officeDocument/2006/relationships/hyperlink" Target="https://drive.google.com/file/d/1EhIpnMMilUT8c0h1UUika1p2mPaY8SeU/view?usp=sharing" TargetMode="External"/><Relationship Id="rId379" Type="http://schemas.openxmlformats.org/officeDocument/2006/relationships/hyperlink" Target="https://drive.google.com/thumbnail?id=1AGLblvO35IwkpYh6FLaJCnuOmnmWO8fq&amp;sz=s1000" TargetMode="External"/><Relationship Id="rId132" Type="http://schemas.openxmlformats.org/officeDocument/2006/relationships/hyperlink" Target="https://drive.google.com/file/d/14aRUIKappAqUeCIPJafYtP2dcUHTDvbh/view?usp=sharing" TargetMode="External"/><Relationship Id="rId253" Type="http://schemas.openxmlformats.org/officeDocument/2006/relationships/hyperlink" Target="https://drive.google.com/thumbnail?id=1EZ5qvqURMbAP-gdwCvQ5nFSIVZ7fl2rF&amp;sz=s1000" TargetMode="External"/><Relationship Id="rId374" Type="http://schemas.openxmlformats.org/officeDocument/2006/relationships/hyperlink" Target="https://drive.google.com/file/d/1AWWCLN_nAIXxtc8_-xEWe2Ey-XoFnNgc/view?usp=sharing" TargetMode="External"/><Relationship Id="rId495" Type="http://schemas.openxmlformats.org/officeDocument/2006/relationships/hyperlink" Target="https://drive.google.com/file/d/18_ZG-yKmhvwTu8nAUdExLimQZUVoOvyy/view?usp=sharing" TargetMode="External"/><Relationship Id="rId131" Type="http://schemas.openxmlformats.org/officeDocument/2006/relationships/hyperlink" Target="https://drive.google.com/thumbnail?id=14P8HxbkRJDYzWmIMwoFE_tXPIHQ57GBn&amp;sz=s1000" TargetMode="External"/><Relationship Id="rId252" Type="http://schemas.openxmlformats.org/officeDocument/2006/relationships/hyperlink" Target="https://drive.google.com/file/d/1EZ5qvqURMbAP-gdwCvQ5nFSIVZ7fl2rF/view?usp=sharing" TargetMode="External"/><Relationship Id="rId373" Type="http://schemas.openxmlformats.org/officeDocument/2006/relationships/hyperlink" Target="https://drive.google.com/thumbnail?id=1AZj2LhMmdXE4eNJyabzZC0fy-vg5nK4X&amp;sz=s1000" TargetMode="External"/><Relationship Id="rId494" Type="http://schemas.openxmlformats.org/officeDocument/2006/relationships/hyperlink" Target="https://drive.google.com/thumbnail?id=18WxXdMLvVjUDIhYq5mrBV82AVHDNLVds&amp;sz=s1000" TargetMode="External"/><Relationship Id="rId130" Type="http://schemas.openxmlformats.org/officeDocument/2006/relationships/hyperlink" Target="https://drive.google.com/file/d/14P8HxbkRJDYzWmIMwoFE_tXPIHQ57GBn/view?usp=sharing" TargetMode="External"/><Relationship Id="rId251" Type="http://schemas.openxmlformats.org/officeDocument/2006/relationships/hyperlink" Target="https://drive.google.com/thumbnail?id=1DuTgLoioN5nb0HyrbyESOQnGhYeq2UvS&amp;sz=s1000" TargetMode="External"/><Relationship Id="rId372" Type="http://schemas.openxmlformats.org/officeDocument/2006/relationships/hyperlink" Target="https://drive.google.com/file/d/1AZj2LhMmdXE4eNJyabzZC0fy-vg5nK4X/view?usp=sharing" TargetMode="External"/><Relationship Id="rId493" Type="http://schemas.openxmlformats.org/officeDocument/2006/relationships/hyperlink" Target="https://drive.google.com/file/d/18WxXdMLvVjUDIhYq5mrBV82AVHDNLVds/view?usp=sharing" TargetMode="External"/><Relationship Id="rId250" Type="http://schemas.openxmlformats.org/officeDocument/2006/relationships/hyperlink" Target="https://drive.google.com/file/d/1DuTgLoioN5nb0HyrbyESOQnGhYeq2UvS/view?usp=sharing" TargetMode="External"/><Relationship Id="rId371" Type="http://schemas.openxmlformats.org/officeDocument/2006/relationships/hyperlink" Target="https://drive.google.com/thumbnail?id=1AE_V3kITnqXKt5N0DDCdnXY_ZW6LkGcE&amp;sz=s1000" TargetMode="External"/><Relationship Id="rId492" Type="http://schemas.openxmlformats.org/officeDocument/2006/relationships/hyperlink" Target="https://drive.google.com/thumbnail?id=18W0pV7CDclgGYMf6sgcqOXZT29F_Ppo0&amp;sz=s1000" TargetMode="External"/><Relationship Id="rId136" Type="http://schemas.openxmlformats.org/officeDocument/2006/relationships/hyperlink" Target="https://drive.google.com/file/d/13SYPslj9r91mEYh1jfGJF2sUAlOXRdn8/view?usp=sharing" TargetMode="External"/><Relationship Id="rId257" Type="http://schemas.openxmlformats.org/officeDocument/2006/relationships/hyperlink" Target="https://drive.google.com/thumbnail?id=1EkJBFuLH5WdUXawba8cUsQEjxpUS6ekK&amp;sz=s1000" TargetMode="External"/><Relationship Id="rId378" Type="http://schemas.openxmlformats.org/officeDocument/2006/relationships/hyperlink" Target="https://drive.google.com/file/d/1AGLblvO35IwkpYh6FLaJCnuOmnmWO8fq/view?usp=sharing" TargetMode="External"/><Relationship Id="rId499" Type="http://schemas.openxmlformats.org/officeDocument/2006/relationships/hyperlink" Target="https://drive.google.com/file/d/17bp3Qr0wqS_1RUT96fgvTjLmQP7A_wiV/view?usp=sharing" TargetMode="External"/><Relationship Id="rId135" Type="http://schemas.openxmlformats.org/officeDocument/2006/relationships/hyperlink" Target="https://drive.google.com/thumbnail?id=13vsZFBlj36FEFyd1djE_yZAPiO3LCpe6&amp;sz=s1000" TargetMode="External"/><Relationship Id="rId256" Type="http://schemas.openxmlformats.org/officeDocument/2006/relationships/hyperlink" Target="https://drive.google.com/file/d/1EkJBFuLH5WdUXawba8cUsQEjxpUS6ekK/view?usp=sharing" TargetMode="External"/><Relationship Id="rId377" Type="http://schemas.openxmlformats.org/officeDocument/2006/relationships/hyperlink" Target="https://drive.google.com/thumbnail?id=1APippBM3wV79nRW3LWNyA_vzDz3AD7E5&amp;sz=s1000" TargetMode="External"/><Relationship Id="rId498" Type="http://schemas.openxmlformats.org/officeDocument/2006/relationships/hyperlink" Target="https://drive.google.com/thumbnail?id=18Z-eDCgX5-FrC5vCrap2x4bUOebdgb7B&amp;sz=s1000" TargetMode="External"/><Relationship Id="rId134" Type="http://schemas.openxmlformats.org/officeDocument/2006/relationships/hyperlink" Target="https://drive.google.com/file/d/13vsZFBlj36FEFyd1djE_yZAPiO3LCpe6/view?usp=sharing" TargetMode="External"/><Relationship Id="rId255" Type="http://schemas.openxmlformats.org/officeDocument/2006/relationships/hyperlink" Target="https://drive.google.com/thumbnail?id=1Emj1BgJDzamF5HvvbHqJGJIDUIJBy3DC&amp;sz=s1000" TargetMode="External"/><Relationship Id="rId376" Type="http://schemas.openxmlformats.org/officeDocument/2006/relationships/hyperlink" Target="https://drive.google.com/file/d/1APippBM3wV79nRW3LWNyA_vzDz3AD7E5/view?usp=sharing" TargetMode="External"/><Relationship Id="rId497" Type="http://schemas.openxmlformats.org/officeDocument/2006/relationships/hyperlink" Target="https://drive.google.com/file/d/18Z-eDCgX5-FrC5vCrap2x4bUOebdgb7B/view?usp=sharing" TargetMode="External"/><Relationship Id="rId133" Type="http://schemas.openxmlformats.org/officeDocument/2006/relationships/hyperlink" Target="https://drive.google.com/thumbnail?id=14aRUIKappAqUeCIPJafYtP2dcUHTDvbh&amp;sz=s1000" TargetMode="External"/><Relationship Id="rId254" Type="http://schemas.openxmlformats.org/officeDocument/2006/relationships/hyperlink" Target="https://drive.google.com/file/d/1Emj1BgJDzamF5HvvbHqJGJIDUIJBy3DC/view?usp=sharing" TargetMode="External"/><Relationship Id="rId375" Type="http://schemas.openxmlformats.org/officeDocument/2006/relationships/hyperlink" Target="https://drive.google.com/thumbnail?id=1AWWCLN_nAIXxtc8_-xEWe2Ey-XoFnNgc&amp;sz=s1000" TargetMode="External"/><Relationship Id="rId496" Type="http://schemas.openxmlformats.org/officeDocument/2006/relationships/hyperlink" Target="https://drive.google.com/thumbnail?id=18_ZG-yKmhvwTu8nAUdExLimQZUVoOvyy&amp;sz=s1000" TargetMode="External"/><Relationship Id="rId172" Type="http://schemas.openxmlformats.org/officeDocument/2006/relationships/hyperlink" Target="https://drive.google.com/file/d/162BzdY6AgQihvv89aiJe75AVljbhcCVz/view?usp=sharing" TargetMode="External"/><Relationship Id="rId293" Type="http://schemas.openxmlformats.org/officeDocument/2006/relationships/hyperlink" Target="https://drive.google.com/thumbnail?id=1FmeZyOPwHk0ZBU60UAurGluUYJjrIFUS&amp;sz=s1000" TargetMode="External"/><Relationship Id="rId171" Type="http://schemas.openxmlformats.org/officeDocument/2006/relationships/hyperlink" Target="https://drive.google.com/thumbnail?id=16ukrHpb6iWadRb80Edx-MlEBqT218F4E&amp;sz=s1000" TargetMode="External"/><Relationship Id="rId292" Type="http://schemas.openxmlformats.org/officeDocument/2006/relationships/hyperlink" Target="https://drive.google.com/file/d/1FmeZyOPwHk0ZBU60UAurGluUYJjrIFUS/view?usp=sharing" TargetMode="External"/><Relationship Id="rId170" Type="http://schemas.openxmlformats.org/officeDocument/2006/relationships/hyperlink" Target="https://drive.google.com/file/d/16ukrHpb6iWadRb80Edx-MlEBqT218F4E/view?usp=sharing" TargetMode="External"/><Relationship Id="rId291" Type="http://schemas.openxmlformats.org/officeDocument/2006/relationships/hyperlink" Target="https://drive.google.com/thumbnail?id=1F_GSqiPRXK1Xlsp5KU_ArhalZBguinsY&amp;sz=s1000" TargetMode="External"/><Relationship Id="rId290" Type="http://schemas.openxmlformats.org/officeDocument/2006/relationships/hyperlink" Target="https://drive.google.com/file/d/1F_GSqiPRXK1Xlsp5KU_ArhalZBguinsY/view?usp=sharing" TargetMode="External"/><Relationship Id="rId165" Type="http://schemas.openxmlformats.org/officeDocument/2006/relationships/hyperlink" Target="https://drive.google.com/thumbnail?id=15SzOCV0Cs5YhF3ShSinB5qrHt7Nzm2wy&amp;sz=s1000" TargetMode="External"/><Relationship Id="rId286" Type="http://schemas.openxmlformats.org/officeDocument/2006/relationships/hyperlink" Target="https://drive.google.com/file/d/1FbPIV10PfsWzHa2ft1zTJ2C48BFz7-Wg/view?usp=sharing" TargetMode="External"/><Relationship Id="rId164" Type="http://schemas.openxmlformats.org/officeDocument/2006/relationships/hyperlink" Target="https://drive.google.com/file/d/15SzOCV0Cs5YhF3ShSinB5qrHt7Nzm2wy/view?usp=sharing" TargetMode="External"/><Relationship Id="rId285" Type="http://schemas.openxmlformats.org/officeDocument/2006/relationships/hyperlink" Target="https://drive.google.com/thumbnail?id=1FdXV64jsEdR0YpPMh7bNrmK7rhK5G1xM&amp;sz=s1000" TargetMode="External"/><Relationship Id="rId163" Type="http://schemas.openxmlformats.org/officeDocument/2006/relationships/hyperlink" Target="https://drive.google.com/thumbnail?id=16hY6YoHpzpE684kRWOhlUs9WmgL1YC-C&amp;sz=s1000" TargetMode="External"/><Relationship Id="rId284" Type="http://schemas.openxmlformats.org/officeDocument/2006/relationships/hyperlink" Target="https://drive.google.com/file/d/1FdXV64jsEdR0YpPMh7bNrmK7rhK5G1xM/view?usp=sharing" TargetMode="External"/><Relationship Id="rId162" Type="http://schemas.openxmlformats.org/officeDocument/2006/relationships/hyperlink" Target="https://drive.google.com/file/d/16hY6YoHpzpE684kRWOhlUs9WmgL1YC-C/view?usp=sharing" TargetMode="External"/><Relationship Id="rId283" Type="http://schemas.openxmlformats.org/officeDocument/2006/relationships/hyperlink" Target="https://drive.google.com/thumbnail?id=1FluZuIhEkZq4-J2O9k-xSHlIpv6iMSwq&amp;sz=s1000" TargetMode="External"/><Relationship Id="rId169" Type="http://schemas.openxmlformats.org/officeDocument/2006/relationships/hyperlink" Target="https://drive.google.com/thumbnail?id=16tn6aN2MH6urt9zvtSw40aNgnfNk-mn0&amp;sz=s1000" TargetMode="External"/><Relationship Id="rId168" Type="http://schemas.openxmlformats.org/officeDocument/2006/relationships/hyperlink" Target="https://drive.google.com/file/d/16tn6aN2MH6urt9zvtSw40aNgnfNk-mn0/view?usp=sharing" TargetMode="External"/><Relationship Id="rId289" Type="http://schemas.openxmlformats.org/officeDocument/2006/relationships/hyperlink" Target="https://drive.google.com/thumbnail?id=1FbNnuJ1dw1toLyFhgrxhNZDGxfAz5rj6&amp;sz=s1000" TargetMode="External"/><Relationship Id="rId167" Type="http://schemas.openxmlformats.org/officeDocument/2006/relationships/hyperlink" Target="https://drive.google.com/thumbnail?id=16TxERQRArLicMSENUVoIG4AYA7miEKEH&amp;sz=s1000" TargetMode="External"/><Relationship Id="rId288" Type="http://schemas.openxmlformats.org/officeDocument/2006/relationships/hyperlink" Target="https://drive.google.com/file/d/1FbNnuJ1dw1toLyFhgrxhNZDGxfAz5rj6/view?usp=sharing" TargetMode="External"/><Relationship Id="rId166" Type="http://schemas.openxmlformats.org/officeDocument/2006/relationships/hyperlink" Target="https://drive.google.com/file/d/16TxERQRArLicMSENUVoIG4AYA7miEKEH/view?usp=sharing" TargetMode="External"/><Relationship Id="rId287" Type="http://schemas.openxmlformats.org/officeDocument/2006/relationships/hyperlink" Target="https://drive.google.com/thumbnail?id=1FbPIV10PfsWzHa2ft1zTJ2C48BFz7-Wg&amp;sz=s1000" TargetMode="External"/><Relationship Id="rId161" Type="http://schemas.openxmlformats.org/officeDocument/2006/relationships/hyperlink" Target="https://drive.google.com/thumbnail?id=15y_SclEqCJYrr7_4pbmppwpd7yT529Ao&amp;sz=s1000" TargetMode="External"/><Relationship Id="rId282" Type="http://schemas.openxmlformats.org/officeDocument/2006/relationships/hyperlink" Target="https://drive.google.com/file/d/1FluZuIhEkZq4-J2O9k-xSHlIpv6iMSwq/view?usp=sharing" TargetMode="External"/><Relationship Id="rId160" Type="http://schemas.openxmlformats.org/officeDocument/2006/relationships/hyperlink" Target="https://drive.google.com/file/d/15y_SclEqCJYrr7_4pbmppwpd7yT529Ao/view?usp=sharing" TargetMode="External"/><Relationship Id="rId281" Type="http://schemas.openxmlformats.org/officeDocument/2006/relationships/hyperlink" Target="https://drive.google.com/thumbnail?id=1FDRPHYjXEgoxss6AS36OJ3wFMXGY6-Zq&amp;sz=s1000" TargetMode="External"/><Relationship Id="rId280" Type="http://schemas.openxmlformats.org/officeDocument/2006/relationships/hyperlink" Target="https://drive.google.com/file/d/1FDRPHYjXEgoxss6AS36OJ3wFMXGY6-Zq/view?usp=sharing" TargetMode="External"/><Relationship Id="rId159" Type="http://schemas.openxmlformats.org/officeDocument/2006/relationships/hyperlink" Target="https://drive.google.com/thumbnail?id=13X9cxt3aN1IwLrAEO-QaXPkYmQobHJOX&amp;sz=s1000" TargetMode="External"/><Relationship Id="rId154" Type="http://schemas.openxmlformats.org/officeDocument/2006/relationships/hyperlink" Target="https://drive.google.com/file/d/13Jjnktu_dHLIJYot0yipNyyj-RL8cMWA/view?usp=sharing" TargetMode="External"/><Relationship Id="rId275" Type="http://schemas.openxmlformats.org/officeDocument/2006/relationships/hyperlink" Target="https://drive.google.com/thumbnail?id=1FLeAVwJvNqD_gnoYdC27E-WBAUWmaFl1&amp;sz=s1000" TargetMode="External"/><Relationship Id="rId396" Type="http://schemas.openxmlformats.org/officeDocument/2006/relationships/hyperlink" Target="https://drive.google.com/thumbnail?id=1AjFBIXquhFGHWF0Ewc-eBQVmwwjKErj5&amp;sz=s1000" TargetMode="External"/><Relationship Id="rId153" Type="http://schemas.openxmlformats.org/officeDocument/2006/relationships/hyperlink" Target="https://drive.google.com/thumbnail?id=1479AS7_FoH9KMVrD_0Vxue9iGIlyaEcJ&amp;sz=s1000" TargetMode="External"/><Relationship Id="rId274" Type="http://schemas.openxmlformats.org/officeDocument/2006/relationships/hyperlink" Target="https://drive.google.com/file/d/1FLeAVwJvNqD_gnoYdC27E-WBAUWmaFl1/view?usp=sharing" TargetMode="External"/><Relationship Id="rId395" Type="http://schemas.openxmlformats.org/officeDocument/2006/relationships/hyperlink" Target="https://drive.google.com/file/d/1AjFBIXquhFGHWF0Ewc-eBQVmwwjKErj5/view?usp=sharing" TargetMode="External"/><Relationship Id="rId152" Type="http://schemas.openxmlformats.org/officeDocument/2006/relationships/hyperlink" Target="https://drive.google.com/file/d/1479AS7_FoH9KMVrD_0Vxue9iGIlyaEcJ/view?usp=sharing" TargetMode="External"/><Relationship Id="rId273" Type="http://schemas.openxmlformats.org/officeDocument/2006/relationships/hyperlink" Target="https://drive.google.com/thumbnail?id=1FLjaqLQVerhLZ9I6nQTZv-xV28e_I2zw&amp;sz=s1000" TargetMode="External"/><Relationship Id="rId394" Type="http://schemas.openxmlformats.org/officeDocument/2006/relationships/hyperlink" Target="https://drive.google.com/thumbnail?id=1AjZlmhDkawPJgWGzjl7C7p3kVaClqpdY&amp;sz=s1000" TargetMode="External"/><Relationship Id="rId151" Type="http://schemas.openxmlformats.org/officeDocument/2006/relationships/hyperlink" Target="https://drive.google.com/thumbnail?id=13wzW_DV4N1CF7SM_-eSJiKN6XCvHdiHa&amp;sz=s1000" TargetMode="External"/><Relationship Id="rId272" Type="http://schemas.openxmlformats.org/officeDocument/2006/relationships/hyperlink" Target="https://drive.google.com/file/d/1FLjaqLQVerhLZ9I6nQTZv-xV28e_I2zw/view?usp=sharing" TargetMode="External"/><Relationship Id="rId393" Type="http://schemas.openxmlformats.org/officeDocument/2006/relationships/hyperlink" Target="https://drive.google.com/file/d/1AjZlmhDkawPJgWGzjl7C7p3kVaClqpdY/view?usp=sharing" TargetMode="External"/><Relationship Id="rId158" Type="http://schemas.openxmlformats.org/officeDocument/2006/relationships/hyperlink" Target="https://drive.google.com/file/d/13X9cxt3aN1IwLrAEO-QaXPkYmQobHJOX/view?usp=sharing" TargetMode="External"/><Relationship Id="rId279" Type="http://schemas.openxmlformats.org/officeDocument/2006/relationships/hyperlink" Target="https://drive.google.com/thumbnail?id=1FEHkgTSCEYgovYNuis_9ljHLWI0379kV&amp;sz=s1000" TargetMode="External"/><Relationship Id="rId157" Type="http://schemas.openxmlformats.org/officeDocument/2006/relationships/hyperlink" Target="https://drive.google.com/thumbnail?id=13e_PEqlVbtoENaqp9DSZWsCUV6dp7i_l&amp;sz=s1000" TargetMode="External"/><Relationship Id="rId278" Type="http://schemas.openxmlformats.org/officeDocument/2006/relationships/hyperlink" Target="https://drive.google.com/file/d/1FEHkgTSCEYgovYNuis_9ljHLWI0379kV/view?usp=sharing" TargetMode="External"/><Relationship Id="rId399" Type="http://schemas.openxmlformats.org/officeDocument/2006/relationships/hyperlink" Target="https://drive.google.com/file/d/1Avlla1l7IOOYnW8Hb1leg3zoIOxxTrwH/view?usp=sharing" TargetMode="External"/><Relationship Id="rId156" Type="http://schemas.openxmlformats.org/officeDocument/2006/relationships/hyperlink" Target="https://drive.google.com/file/d/13e_PEqlVbtoENaqp9DSZWsCUV6dp7i_l/view?usp=sharing" TargetMode="External"/><Relationship Id="rId277" Type="http://schemas.openxmlformats.org/officeDocument/2006/relationships/hyperlink" Target="https://drive.google.com/thumbnail?id=1FHF8wgz_Ga2qTBjc7XrCH03HnhuL_t3V&amp;sz=s1000" TargetMode="External"/><Relationship Id="rId398" Type="http://schemas.openxmlformats.org/officeDocument/2006/relationships/hyperlink" Target="https://drive.google.com/thumbnail?id=1B-1RYc972zxY6Zj-81T3omCZqpuWfWUn&amp;sz=s1000" TargetMode="External"/><Relationship Id="rId155" Type="http://schemas.openxmlformats.org/officeDocument/2006/relationships/hyperlink" Target="https://drive.google.com/thumbnail?id=13Jjnktu_dHLIJYot0yipNyyj-RL8cMWA&amp;sz=s1000" TargetMode="External"/><Relationship Id="rId276" Type="http://schemas.openxmlformats.org/officeDocument/2006/relationships/hyperlink" Target="https://drive.google.com/file/d/1FHF8wgz_Ga2qTBjc7XrCH03HnhuL_t3V/view?usp=sharing" TargetMode="External"/><Relationship Id="rId397" Type="http://schemas.openxmlformats.org/officeDocument/2006/relationships/hyperlink" Target="https://drive.google.com/file/d/1B-1RYc972zxY6Zj-81T3omCZqpuWfWUn/view?usp=sharing" TargetMode="External"/><Relationship Id="rId40" Type="http://schemas.openxmlformats.org/officeDocument/2006/relationships/hyperlink" Target="https://drive.google.com/file/d/10oX_HKCXxf3p8ardSda6R7Zu05lAEzlm/view?usp=sharing" TargetMode="External"/><Relationship Id="rId42" Type="http://schemas.openxmlformats.org/officeDocument/2006/relationships/hyperlink" Target="https://drive.google.com/file/d/10zSjfS30fhUWg0yl_vctbi_iu-9j4pWn/view?usp=sharing" TargetMode="External"/><Relationship Id="rId41" Type="http://schemas.openxmlformats.org/officeDocument/2006/relationships/hyperlink" Target="https://drive.google.com/thumbnail?id=10oX_HKCXxf3p8ardSda6R7Zu05lAEzlm&amp;sz=s1000" TargetMode="External"/><Relationship Id="rId44" Type="http://schemas.openxmlformats.org/officeDocument/2006/relationships/hyperlink" Target="https://drive.google.com/file/d/12Ndrrl82AsFzdXJt6GBFbTvn38ONeKL8/view?usp=sharing" TargetMode="External"/><Relationship Id="rId43" Type="http://schemas.openxmlformats.org/officeDocument/2006/relationships/hyperlink" Target="https://drive.google.com/thumbnail?id=10zSjfS30fhUWg0yl_vctbi_iu-9j4pWn&amp;sz=s1000" TargetMode="External"/><Relationship Id="rId46" Type="http://schemas.openxmlformats.org/officeDocument/2006/relationships/hyperlink" Target="https://drive.google.com/file/d/11NsQgA4k_0qdrdJ4Dwzeet2YOR7_IwbA/view?usp=sharing" TargetMode="External"/><Relationship Id="rId45" Type="http://schemas.openxmlformats.org/officeDocument/2006/relationships/hyperlink" Target="https://drive.google.com/thumbnail?id=12Ndrrl82AsFzdXJt6GBFbTvn38ONeKL8&amp;sz=s1000" TargetMode="External"/><Relationship Id="rId509" Type="http://schemas.openxmlformats.org/officeDocument/2006/relationships/hyperlink" Target="https://drive.google.com/file/d/1WuLFIcXZmU7SPOWw7RpekwM5arKlOR2G/view?usp=sharing" TargetMode="External"/><Relationship Id="rId508" Type="http://schemas.openxmlformats.org/officeDocument/2006/relationships/hyperlink" Target="https://drive.google.com/thumbnail?id=1TGtyLhjq6YlZTngMwVW3pbgoj6pjIZn7&amp;sz=s1000" TargetMode="External"/><Relationship Id="rId503" Type="http://schemas.openxmlformats.org/officeDocument/2006/relationships/hyperlink" Target="https://drive.google.com/file/d/1DyvRm6G1PYkRx8Ndd9AsTewVbgh8GXW5/view?usp=sharing" TargetMode="External"/><Relationship Id="rId502" Type="http://schemas.openxmlformats.org/officeDocument/2006/relationships/hyperlink" Target="https://drive.google.com/thumbnail?id=1ArpAnByrN8qfCK7q52sDQnpIj7I2z5a8&amp;sz=s1000" TargetMode="External"/><Relationship Id="rId501" Type="http://schemas.openxmlformats.org/officeDocument/2006/relationships/hyperlink" Target="https://drive.google.com/file/d/1ArpAnByrN8qfCK7q52sDQnpIj7I2z5a8/view?usp=sharing" TargetMode="External"/><Relationship Id="rId500" Type="http://schemas.openxmlformats.org/officeDocument/2006/relationships/hyperlink" Target="https://drive.google.com/thumbnail?id=17bp3Qr0wqS_1RUT96fgvTjLmQP7A_wiV&amp;sz=s1000" TargetMode="External"/><Relationship Id="rId507" Type="http://schemas.openxmlformats.org/officeDocument/2006/relationships/hyperlink" Target="https://drive.google.com/file/d/1TGtyLhjq6YlZTngMwVW3pbgoj6pjIZn7/view?usp=sharing" TargetMode="External"/><Relationship Id="rId506" Type="http://schemas.openxmlformats.org/officeDocument/2006/relationships/hyperlink" Target="https://drive.google.com/thumbnail?id=14HiQCI0HhQCXQnABrw-CiEUkcTbpqd0h&amp;sz=s1000" TargetMode="External"/><Relationship Id="rId505" Type="http://schemas.openxmlformats.org/officeDocument/2006/relationships/hyperlink" Target="https://drive.google.com/file/d/14HiQCI0HhQCXQnABrw-CiEUkcTbpqd0h/view?usp=sharing" TargetMode="External"/><Relationship Id="rId504" Type="http://schemas.openxmlformats.org/officeDocument/2006/relationships/hyperlink" Target="https://drive.google.com/thumbnail?id=1DyvRm6G1PYkRx8Ndd9AsTewVbgh8GXW5&amp;sz=s1000" TargetMode="External"/><Relationship Id="rId48" Type="http://schemas.openxmlformats.org/officeDocument/2006/relationships/hyperlink" Target="https://drive.google.com/file/d/1-_QWuk83-rgd5Rv0uxhPkfIHuA9fVOrW/view?usp=sharing" TargetMode="External"/><Relationship Id="rId47" Type="http://schemas.openxmlformats.org/officeDocument/2006/relationships/hyperlink" Target="https://drive.google.com/thumbnail?id=11NsQgA4k_0qdrdJ4Dwzeet2YOR7_IwbA&amp;sz=s1000" TargetMode="External"/><Relationship Id="rId49" Type="http://schemas.openxmlformats.org/officeDocument/2006/relationships/hyperlink" Target="https://drive.google.com/thumbnail?id=1-_QWuk83-rgd5Rv0uxhPkfIHuA9fVOrW&amp;sz=s1000" TargetMode="External"/><Relationship Id="rId31" Type="http://schemas.openxmlformats.org/officeDocument/2006/relationships/hyperlink" Target="https://drive.google.com/thumbnail?id=123cNwYUib0TBOr6uaM3i9qhOMF9FPg1H&amp;sz=s1000" TargetMode="External"/><Relationship Id="rId30" Type="http://schemas.openxmlformats.org/officeDocument/2006/relationships/hyperlink" Target="https://drive.google.com/file/d/123cNwYUib0TBOr6uaM3i9qhOMF9FPg1H/view?usp=sharing" TargetMode="External"/><Relationship Id="rId33" Type="http://schemas.openxmlformats.org/officeDocument/2006/relationships/hyperlink" Target="https://drive.google.com/thumbnail?id=12XaZibnchUZLUsr4fT6A8Xg7K7Na9SW9&amp;sz=s1000" TargetMode="External"/><Relationship Id="rId32" Type="http://schemas.openxmlformats.org/officeDocument/2006/relationships/hyperlink" Target="https://drive.google.com/file/d/12XaZibnchUZLUsr4fT6A8Xg7K7Na9SW9/view?usp=sharing" TargetMode="External"/><Relationship Id="rId35" Type="http://schemas.openxmlformats.org/officeDocument/2006/relationships/hyperlink" Target="https://drive.google.com/thumbnail?id=112_g4s1fSr21FtnzjKDF7dj5yMIfTky_&amp;sz=s1000" TargetMode="External"/><Relationship Id="rId34" Type="http://schemas.openxmlformats.org/officeDocument/2006/relationships/hyperlink" Target="https://drive.google.com/file/d/112_g4s1fSr21FtnzjKDF7dj5yMIfTky_/view?usp=sharing" TargetMode="External"/><Relationship Id="rId37" Type="http://schemas.openxmlformats.org/officeDocument/2006/relationships/hyperlink" Target="https://drive.google.com/thumbnail?id=12RBHXxM3enTBw-IyFbVdqoqiHoVGrUc4&amp;sz=s1000" TargetMode="External"/><Relationship Id="rId36" Type="http://schemas.openxmlformats.org/officeDocument/2006/relationships/hyperlink" Target="https://drive.google.com/file/d/12RBHXxM3enTBw-IyFbVdqoqiHoVGrUc4/view?usp=sharing" TargetMode="External"/><Relationship Id="rId39" Type="http://schemas.openxmlformats.org/officeDocument/2006/relationships/hyperlink" Target="https://drive.google.com/thumbnail?id=12LC34d5jkA9OCFr7xDTnVpbu_4jVdW5o&amp;sz=s1000" TargetMode="External"/><Relationship Id="rId38" Type="http://schemas.openxmlformats.org/officeDocument/2006/relationships/hyperlink" Target="https://drive.google.com/file/d/12LC34d5jkA9OCFr7xDTnVpbu_4jVdW5o/view?usp=sharing" TargetMode="External"/><Relationship Id="rId20" Type="http://schemas.openxmlformats.org/officeDocument/2006/relationships/hyperlink" Target="https://drive.google.com/file/d/10fdoZ--36soFtFJm71mS882-hhQGvAGm/view?usp=sharing" TargetMode="External"/><Relationship Id="rId22" Type="http://schemas.openxmlformats.org/officeDocument/2006/relationships/hyperlink" Target="https://drive.google.com/file/d/11VDvvrIymdFiuFh-NSqLhAgJq2EWk7-p/view?usp=sharing" TargetMode="External"/><Relationship Id="rId21" Type="http://schemas.openxmlformats.org/officeDocument/2006/relationships/hyperlink" Target="https://drive.google.com/thumbnail?id=10fdoZ--36soFtFJm71mS882-hhQGvAGm&amp;sz=s1000" TargetMode="External"/><Relationship Id="rId24" Type="http://schemas.openxmlformats.org/officeDocument/2006/relationships/hyperlink" Target="https://drive.google.com/file/d/1-lT9VC-VWRT2nKCM-sXOlzekBzl6eK2m/view?usp=sharing" TargetMode="External"/><Relationship Id="rId23" Type="http://schemas.openxmlformats.org/officeDocument/2006/relationships/hyperlink" Target="https://drive.google.com/thumbnail?id=11VDvvrIymdFiuFh-NSqLhAgJq2EWk7-p&amp;sz=s1000" TargetMode="External"/><Relationship Id="rId409" Type="http://schemas.openxmlformats.org/officeDocument/2006/relationships/hyperlink" Target="https://drive.google.com/file/d/1Bk6P9r8XE5u1ZjP0e1NRX840mqoTQdmE/view?usp=sharing" TargetMode="External"/><Relationship Id="rId404" Type="http://schemas.openxmlformats.org/officeDocument/2006/relationships/hyperlink" Target="https://drive.google.com/thumbnail?id=1B2SZfhYqE3leUEWl9n2y0aFJy6sYfxYk&amp;sz=s1000" TargetMode="External"/><Relationship Id="rId525" Type="http://schemas.openxmlformats.org/officeDocument/2006/relationships/hyperlink" Target="https://drive.google.com/file/d/17V632Jo-xgoW6WTUYzsHjsp1BEjpbcrl/view?usp=sharing" TargetMode="External"/><Relationship Id="rId403" Type="http://schemas.openxmlformats.org/officeDocument/2006/relationships/hyperlink" Target="https://drive.google.com/file/d/1B2SZfhYqE3leUEWl9n2y0aFJy6sYfxYk/view?usp=sharing" TargetMode="External"/><Relationship Id="rId524" Type="http://schemas.openxmlformats.org/officeDocument/2006/relationships/hyperlink" Target="https://drive.google.com/thumbnail?id=1q2RkxhFx2GuKaHCFCppMscxVn-lzt8xY&amp;sz=s1000" TargetMode="External"/><Relationship Id="rId402" Type="http://schemas.openxmlformats.org/officeDocument/2006/relationships/hyperlink" Target="https://drive.google.com/thumbnail?id=1B-PQNAmsJhCQB8icXqHFDMTgyqhqGXmR&amp;sz=s1000" TargetMode="External"/><Relationship Id="rId523" Type="http://schemas.openxmlformats.org/officeDocument/2006/relationships/hyperlink" Target="https://drive.google.com/file/d/1q2RkxhFx2GuKaHCFCppMscxVn-lzt8xY/view?usp=sharing" TargetMode="External"/><Relationship Id="rId401" Type="http://schemas.openxmlformats.org/officeDocument/2006/relationships/hyperlink" Target="https://drive.google.com/file/d/1B-PQNAmsJhCQB8icXqHFDMTgyqhqGXmR/view?usp=sharing" TargetMode="External"/><Relationship Id="rId522" Type="http://schemas.openxmlformats.org/officeDocument/2006/relationships/hyperlink" Target="https://drive.google.com/thumbnail?id=1UJpqBzdTOFdPmCK2Yql9oJFrsD8knf_I&amp;sz=s1000" TargetMode="External"/><Relationship Id="rId408" Type="http://schemas.openxmlformats.org/officeDocument/2006/relationships/hyperlink" Target="https://drive.google.com/thumbnail?id=1B3S2-ZdyZblPUvf3T_SXcDeC1N_Lcv0Y&amp;sz=s1000" TargetMode="External"/><Relationship Id="rId529" Type="http://schemas.openxmlformats.org/officeDocument/2006/relationships/hyperlink" Target="https://drive.google.com/file/d/1OKzaiPtNxYZyJ77S8DXvPnRvU36f6w_Z/view?usp=sharing" TargetMode="External"/><Relationship Id="rId407" Type="http://schemas.openxmlformats.org/officeDocument/2006/relationships/hyperlink" Target="https://drive.google.com/file/d/1B3S2-ZdyZblPUvf3T_SXcDeC1N_Lcv0Y/view?usp=sharing" TargetMode="External"/><Relationship Id="rId528" Type="http://schemas.openxmlformats.org/officeDocument/2006/relationships/hyperlink" Target="https://drive.google.com/thumbnail?id=15EAW5T234qa5ZMMOC4t8XMHHsdV7GnQ5&amp;sz=s1000" TargetMode="External"/><Relationship Id="rId406" Type="http://schemas.openxmlformats.org/officeDocument/2006/relationships/hyperlink" Target="https://drive.google.com/thumbnail?id=1BijuMEdBaWkEFXAhx7j_pjhULt_pe5pY&amp;sz=s1000" TargetMode="External"/><Relationship Id="rId527" Type="http://schemas.openxmlformats.org/officeDocument/2006/relationships/hyperlink" Target="https://drive.google.com/file/d/15EAW5T234qa5ZMMOC4t8XMHHsdV7GnQ5/view?usp=sharing" TargetMode="External"/><Relationship Id="rId405" Type="http://schemas.openxmlformats.org/officeDocument/2006/relationships/hyperlink" Target="https://drive.google.com/file/d/1BijuMEdBaWkEFXAhx7j_pjhULt_pe5pY/view?usp=sharing" TargetMode="External"/><Relationship Id="rId526" Type="http://schemas.openxmlformats.org/officeDocument/2006/relationships/hyperlink" Target="https://drive.google.com/thumbnail?id=17V632Jo-xgoW6WTUYzsHjsp1BEjpbcrl&amp;sz=s1000" TargetMode="External"/><Relationship Id="rId26" Type="http://schemas.openxmlformats.org/officeDocument/2006/relationships/hyperlink" Target="https://drive.google.com/file/d/10hU1spdcK219FgGNW-GzmYKRpFlQQv6_/view?usp=sharing" TargetMode="External"/><Relationship Id="rId25" Type="http://schemas.openxmlformats.org/officeDocument/2006/relationships/hyperlink" Target="https://drive.google.com/thumbnail?id=1-lT9VC-VWRT2nKCM-sXOlzekBzl6eK2m&amp;sz=s1000" TargetMode="External"/><Relationship Id="rId28" Type="http://schemas.openxmlformats.org/officeDocument/2006/relationships/hyperlink" Target="https://drive.google.com/file/d/1-xvByVRYVFhmDyzUKKJPcpvHoF1FqMMH/view?usp=sharing" TargetMode="External"/><Relationship Id="rId27" Type="http://schemas.openxmlformats.org/officeDocument/2006/relationships/hyperlink" Target="https://drive.google.com/thumbnail?id=10hU1spdcK219FgGNW-GzmYKRpFlQQv6_&amp;sz=s1000" TargetMode="External"/><Relationship Id="rId400" Type="http://schemas.openxmlformats.org/officeDocument/2006/relationships/hyperlink" Target="https://drive.google.com/thumbnail?id=1Avlla1l7IOOYnW8Hb1leg3zoIOxxTrwH&amp;sz=s1000" TargetMode="External"/><Relationship Id="rId521" Type="http://schemas.openxmlformats.org/officeDocument/2006/relationships/hyperlink" Target="https://drive.google.com/file/d/1UJpqBzdTOFdPmCK2Yql9oJFrsD8knf_I/view?usp=sharing" TargetMode="External"/><Relationship Id="rId29" Type="http://schemas.openxmlformats.org/officeDocument/2006/relationships/hyperlink" Target="https://drive.google.com/thumbnail?id=1-xvByVRYVFhmDyzUKKJPcpvHoF1FqMMH&amp;sz=s1000" TargetMode="External"/><Relationship Id="rId520" Type="http://schemas.openxmlformats.org/officeDocument/2006/relationships/hyperlink" Target="https://drive.google.com/thumbnail?id=1qlbMlwWn3bIanIfH6fQtY-P4VceYwtOh&amp;sz=s1000" TargetMode="External"/><Relationship Id="rId11" Type="http://schemas.openxmlformats.org/officeDocument/2006/relationships/hyperlink" Target="https://drive.google.com/thumbnail?id=1-hzuEN09Aq5LuFLk9XiboMJDJZN-ryl-&amp;sz=s1000" TargetMode="External"/><Relationship Id="rId10" Type="http://schemas.openxmlformats.org/officeDocument/2006/relationships/hyperlink" Target="https://drive.google.com/file/d/1-hzuEN09Aq5LuFLk9XiboMJDJZN-ryl-/view?usp=sharing" TargetMode="External"/><Relationship Id="rId13" Type="http://schemas.openxmlformats.org/officeDocument/2006/relationships/hyperlink" Target="https://drive.google.com/thumbnail?id=12QePk5Lemt9hEXk67oHkPNOwjXRMYif2&amp;sz=s1000" TargetMode="External"/><Relationship Id="rId12" Type="http://schemas.openxmlformats.org/officeDocument/2006/relationships/hyperlink" Target="https://drive.google.com/file/d/12QePk5Lemt9hEXk67oHkPNOwjXRMYif2/view?usp=sharing" TargetMode="External"/><Relationship Id="rId519" Type="http://schemas.openxmlformats.org/officeDocument/2006/relationships/hyperlink" Target="https://drive.google.com/file/d/1qlbMlwWn3bIanIfH6fQtY-P4VceYwtOh/view?usp=sharing" TargetMode="External"/><Relationship Id="rId514" Type="http://schemas.openxmlformats.org/officeDocument/2006/relationships/hyperlink" Target="https://drive.google.com/thumbnail?id=153_TQoR3XRiVVhjytrjFSs9fMOnt1YTW&amp;sz=s1000" TargetMode="External"/><Relationship Id="rId513" Type="http://schemas.openxmlformats.org/officeDocument/2006/relationships/hyperlink" Target="https://drive.google.com/file/d/153_TQoR3XRiVVhjytrjFSs9fMOnt1YTW/view?usp=sharing" TargetMode="External"/><Relationship Id="rId512" Type="http://schemas.openxmlformats.org/officeDocument/2006/relationships/hyperlink" Target="https://drive.google.com/thumbnail?id=1fajqmWxMDwuT4kQ3Xl9r2u7N0pxkbPGM&amp;sz=s1000" TargetMode="External"/><Relationship Id="rId511" Type="http://schemas.openxmlformats.org/officeDocument/2006/relationships/hyperlink" Target="https://drive.google.com/file/d/1fajqmWxMDwuT4kQ3Xl9r2u7N0pxkbPGM/view?usp=sharing" TargetMode="External"/><Relationship Id="rId518" Type="http://schemas.openxmlformats.org/officeDocument/2006/relationships/hyperlink" Target="https://drive.google.com/thumbnail?id=1hLUPqga3HoSBFxp3CVdjTTR079MiQ3Vi&amp;sz=s1000" TargetMode="External"/><Relationship Id="rId517" Type="http://schemas.openxmlformats.org/officeDocument/2006/relationships/hyperlink" Target="https://drive.google.com/file/d/1hLUPqga3HoSBFxp3CVdjTTR079MiQ3Vi/view?usp=sharing" TargetMode="External"/><Relationship Id="rId516" Type="http://schemas.openxmlformats.org/officeDocument/2006/relationships/hyperlink" Target="https://drive.google.com/thumbnail?id=1oFly0IRvnuzDOeZodTrKCu9RxlUMkXZt&amp;sz=s1000" TargetMode="External"/><Relationship Id="rId515" Type="http://schemas.openxmlformats.org/officeDocument/2006/relationships/hyperlink" Target="https://drive.google.com/file/d/1oFly0IRvnuzDOeZodTrKCu9RxlUMkXZt/view?usp=sharing" TargetMode="External"/><Relationship Id="rId15" Type="http://schemas.openxmlformats.org/officeDocument/2006/relationships/hyperlink" Target="https://drive.google.com/thumbnail?id=1-yHsLzDqpvPMBrCSWDfLY3cEsg90YyGV&amp;sz=s1000" TargetMode="External"/><Relationship Id="rId14" Type="http://schemas.openxmlformats.org/officeDocument/2006/relationships/hyperlink" Target="https://drive.google.com/file/d/1-yHsLzDqpvPMBrCSWDfLY3cEsg90YyGV/view?usp=sharing" TargetMode="External"/><Relationship Id="rId17" Type="http://schemas.openxmlformats.org/officeDocument/2006/relationships/hyperlink" Target="https://drive.google.com/thumbnail?id=11SwH61xTOotF5shVfNGLGbAQgtYDEFSy&amp;sz=s1000" TargetMode="External"/><Relationship Id="rId16" Type="http://schemas.openxmlformats.org/officeDocument/2006/relationships/hyperlink" Target="https://drive.google.com/file/d/11SwH61xTOotF5shVfNGLGbAQgtYDEFSy/view?usp=sharing" TargetMode="External"/><Relationship Id="rId19" Type="http://schemas.openxmlformats.org/officeDocument/2006/relationships/hyperlink" Target="https://drive.google.com/thumbnail?id=10l_GPD6EKTiAW_XqGR_JDyFJgF70uLh_&amp;sz=s1000" TargetMode="External"/><Relationship Id="rId510" Type="http://schemas.openxmlformats.org/officeDocument/2006/relationships/hyperlink" Target="https://drive.google.com/thumbnail?id=1WuLFIcXZmU7SPOWw7RpekwM5arKlOR2G&amp;sz=s1000" TargetMode="External"/><Relationship Id="rId18" Type="http://schemas.openxmlformats.org/officeDocument/2006/relationships/hyperlink" Target="https://drive.google.com/file/d/10l_GPD6EKTiAW_XqGR_JDyFJgF70uLh_/view?usp=sharing" TargetMode="External"/><Relationship Id="rId84" Type="http://schemas.openxmlformats.org/officeDocument/2006/relationships/hyperlink" Target="https://drive.google.com/file/d/15A86c9ZuQ9hJS97HGTQt_onYlljGGKI3/view?usp=sharing" TargetMode="External"/><Relationship Id="rId83" Type="http://schemas.openxmlformats.org/officeDocument/2006/relationships/hyperlink" Target="https://drive.google.com/thumbnail?id=1-9XzdzDvlLqfX_dXsYdr4VUwBI1LnHa2&amp;sz=s1000" TargetMode="External"/><Relationship Id="rId86" Type="http://schemas.openxmlformats.org/officeDocument/2006/relationships/hyperlink" Target="https://drive.google.com/file/d/139QtWJt8IIl-Ren9bCuWfFG5rwtMckfh/view?usp=sharing" TargetMode="External"/><Relationship Id="rId85" Type="http://schemas.openxmlformats.org/officeDocument/2006/relationships/hyperlink" Target="https://drive.google.com/thumbnail?id=15A86c9ZuQ9hJS97HGTQt_onYlljGGKI3&amp;sz=s1000" TargetMode="External"/><Relationship Id="rId88" Type="http://schemas.openxmlformats.org/officeDocument/2006/relationships/hyperlink" Target="https://drive.google.com/file/d/1-gjEvKKyS57YgR3-Rhz8dPviPBsBKP7A/view?usp=sharing" TargetMode="External"/><Relationship Id="rId87" Type="http://schemas.openxmlformats.org/officeDocument/2006/relationships/hyperlink" Target="https://drive.google.com/thumbnail?id=139QtWJt8IIl-Ren9bCuWfFG5rwtMckfh&amp;sz=s1000" TargetMode="External"/><Relationship Id="rId89" Type="http://schemas.openxmlformats.org/officeDocument/2006/relationships/hyperlink" Target="https://drive.google.com/thumbnail?id=1-gjEvKKyS57YgR3-Rhz8dPviPBsBKP7A&amp;sz=s1000" TargetMode="External"/><Relationship Id="rId80" Type="http://schemas.openxmlformats.org/officeDocument/2006/relationships/hyperlink" Target="https://drive.google.com/file/d/1-l4tHq_J93urIqMKPo8OZBwKCHcLpEa_/view?usp=sharing" TargetMode="External"/><Relationship Id="rId82" Type="http://schemas.openxmlformats.org/officeDocument/2006/relationships/hyperlink" Target="https://drive.google.com/file/d/1-9XzdzDvlLqfX_dXsYdr4VUwBI1LnHa2/view?usp=sharing" TargetMode="External"/><Relationship Id="rId81" Type="http://schemas.openxmlformats.org/officeDocument/2006/relationships/hyperlink" Target="https://drive.google.com/thumbnail?id=1-l4tHq_J93urIqMKPo8OZBwKCHcLpEa_&amp;sz=s1000" TargetMode="External"/><Relationship Id="rId73" Type="http://schemas.openxmlformats.org/officeDocument/2006/relationships/hyperlink" Target="https://drive.google.com/thumbnail?id=1-aCPZJdINTc49AJqAraXGCyS68ozMlvV&amp;sz=s1000" TargetMode="External"/><Relationship Id="rId72" Type="http://schemas.openxmlformats.org/officeDocument/2006/relationships/hyperlink" Target="https://drive.google.com/file/d/1-aCPZJdINTc49AJqAraXGCyS68ozMlvV/view?usp=sharing" TargetMode="External"/><Relationship Id="rId75" Type="http://schemas.openxmlformats.org/officeDocument/2006/relationships/hyperlink" Target="https://drive.google.com/thumbnail?id=124AvHHE2GC8stkmpvQWO6ZJhQ_4CcfkH&amp;sz=s1000" TargetMode="External"/><Relationship Id="rId74" Type="http://schemas.openxmlformats.org/officeDocument/2006/relationships/hyperlink" Target="https://drive.google.com/file/d/124AvHHE2GC8stkmpvQWO6ZJhQ_4CcfkH/view?usp=sharing" TargetMode="External"/><Relationship Id="rId77" Type="http://schemas.openxmlformats.org/officeDocument/2006/relationships/hyperlink" Target="https://drive.google.com/thumbnail?id=10UaPQvWrR4JkgCIt65pDrXIrQuGH6Yvf&amp;sz=s1000" TargetMode="External"/><Relationship Id="rId76" Type="http://schemas.openxmlformats.org/officeDocument/2006/relationships/hyperlink" Target="https://drive.google.com/file/d/10UaPQvWrR4JkgCIt65pDrXIrQuGH6Yvf/view?usp=sharing" TargetMode="External"/><Relationship Id="rId79" Type="http://schemas.openxmlformats.org/officeDocument/2006/relationships/hyperlink" Target="https://drive.google.com/thumbnail?id=101Y4OOnUcRW0qAA_qgZImXxL0cPSJBkv&amp;sz=s1000" TargetMode="External"/><Relationship Id="rId78" Type="http://schemas.openxmlformats.org/officeDocument/2006/relationships/hyperlink" Target="https://drive.google.com/file/d/101Y4OOnUcRW0qAA_qgZImXxL0cPSJBkv/view?usp=sharing" TargetMode="External"/><Relationship Id="rId71" Type="http://schemas.openxmlformats.org/officeDocument/2006/relationships/hyperlink" Target="https://drive.google.com/thumbnail?id=105Gh2uvTYYkEq8VFUAn1HWNKzOZsSvIQ&amp;sz=s1000" TargetMode="External"/><Relationship Id="rId70" Type="http://schemas.openxmlformats.org/officeDocument/2006/relationships/hyperlink" Target="https://drive.google.com/file/d/105Gh2uvTYYkEq8VFUAn1HWNKzOZsSvIQ/view?usp=sharing" TargetMode="External"/><Relationship Id="rId62" Type="http://schemas.openxmlformats.org/officeDocument/2006/relationships/hyperlink" Target="https://drive.google.com/file/d/1060KV3UiKU3aTeqUuGbymdlLjY57ZrkQ/view?usp=sharing" TargetMode="External"/><Relationship Id="rId61" Type="http://schemas.openxmlformats.org/officeDocument/2006/relationships/hyperlink" Target="https://drive.google.com/thumbnail?id=1-dGQrbsCn0FihYGSl7aSUSSGLmuievsd&amp;sz=s1000" TargetMode="External"/><Relationship Id="rId64" Type="http://schemas.openxmlformats.org/officeDocument/2006/relationships/hyperlink" Target="https://drive.google.com/file/d/10wfVX5clBbDZp8PIpUsaw8qgpd7rCrb3/view?usp=sharing" TargetMode="External"/><Relationship Id="rId63" Type="http://schemas.openxmlformats.org/officeDocument/2006/relationships/hyperlink" Target="https://drive.google.com/thumbnail?id=1060KV3UiKU3aTeqUuGbymdlLjY57ZrkQ&amp;sz=s1000" TargetMode="External"/><Relationship Id="rId66" Type="http://schemas.openxmlformats.org/officeDocument/2006/relationships/hyperlink" Target="https://drive.google.com/file/d/11_1SKzOzLtgAIAquH7IsUygIWPAV1DYK/view?usp=sharing" TargetMode="External"/><Relationship Id="rId65" Type="http://schemas.openxmlformats.org/officeDocument/2006/relationships/hyperlink" Target="https://drive.google.com/thumbnail?id=10wfVX5clBbDZp8PIpUsaw8qgpd7rCrb3&amp;sz=s1000" TargetMode="External"/><Relationship Id="rId68" Type="http://schemas.openxmlformats.org/officeDocument/2006/relationships/hyperlink" Target="https://drive.google.com/file/d/10Oznd8VUEwEnVf4hHsYJyEYCOjXy9nEU/view?usp=sharing" TargetMode="External"/><Relationship Id="rId67" Type="http://schemas.openxmlformats.org/officeDocument/2006/relationships/hyperlink" Target="https://drive.google.com/thumbnail?id=11_1SKzOzLtgAIAquH7IsUygIWPAV1DYK&amp;sz=s1000" TargetMode="External"/><Relationship Id="rId60" Type="http://schemas.openxmlformats.org/officeDocument/2006/relationships/hyperlink" Target="https://drive.google.com/file/d/1-dGQrbsCn0FihYGSl7aSUSSGLmuievsd/view?usp=sharing" TargetMode="External"/><Relationship Id="rId69" Type="http://schemas.openxmlformats.org/officeDocument/2006/relationships/hyperlink" Target="https://drive.google.com/thumbnail?id=10Oznd8VUEwEnVf4hHsYJyEYCOjXy9nEU&amp;sz=s1000" TargetMode="External"/><Relationship Id="rId51" Type="http://schemas.openxmlformats.org/officeDocument/2006/relationships/hyperlink" Target="https://drive.google.com/thumbnail?id=1-K2FHTHfnGTjVMo530AeXn_FVhFm6sHX&amp;sz=s1000" TargetMode="External"/><Relationship Id="rId50" Type="http://schemas.openxmlformats.org/officeDocument/2006/relationships/hyperlink" Target="https://drive.google.com/file/d/1-K2FHTHfnGTjVMo530AeXn_FVhFm6sHX/view?usp=sharing" TargetMode="External"/><Relationship Id="rId53" Type="http://schemas.openxmlformats.org/officeDocument/2006/relationships/hyperlink" Target="https://drive.google.com/thumbnail?id=1-cBLPZA2mgpvvx5sH7QTtyz1EkglMhDe&amp;sz=s1000" TargetMode="External"/><Relationship Id="rId52" Type="http://schemas.openxmlformats.org/officeDocument/2006/relationships/hyperlink" Target="https://drive.google.com/file/d/1-cBLPZA2mgpvvx5sH7QTtyz1EkglMhDe/view?usp=sharing" TargetMode="External"/><Relationship Id="rId55" Type="http://schemas.openxmlformats.org/officeDocument/2006/relationships/hyperlink" Target="https://drive.google.com/thumbnail?id=10-1ClFIuF9iaVBxQZcq50Ncrwfh59tbR&amp;sz=s1000" TargetMode="External"/><Relationship Id="rId54" Type="http://schemas.openxmlformats.org/officeDocument/2006/relationships/hyperlink" Target="https://drive.google.com/file/d/10-1ClFIuF9iaVBxQZcq50Ncrwfh59tbR/view?usp=sharing" TargetMode="External"/><Relationship Id="rId57" Type="http://schemas.openxmlformats.org/officeDocument/2006/relationships/hyperlink" Target="https://drive.google.com/thumbnail?id=10rny03nBtclbT8TuZs4DyylaEIHxBwmu&amp;sz=s1000" TargetMode="External"/><Relationship Id="rId56" Type="http://schemas.openxmlformats.org/officeDocument/2006/relationships/hyperlink" Target="https://drive.google.com/file/d/10rny03nBtclbT8TuZs4DyylaEIHxBwmu/view?usp=sharing" TargetMode="External"/><Relationship Id="rId59" Type="http://schemas.openxmlformats.org/officeDocument/2006/relationships/hyperlink" Target="https://drive.google.com/thumbnail?id=1-TVfvfqfaODNollPpSkLH4JzGq8GqTc6&amp;sz=s1000" TargetMode="External"/><Relationship Id="rId58" Type="http://schemas.openxmlformats.org/officeDocument/2006/relationships/hyperlink" Target="https://drive.google.com/file/d/1-TVfvfqfaODNollPpSkLH4JzGq8GqTc6/view?usp=sharing" TargetMode="External"/><Relationship Id="rId107" Type="http://schemas.openxmlformats.org/officeDocument/2006/relationships/hyperlink" Target="https://drive.google.com/thumbnail?id=13nEL0nG4RssBKEaa6S76e0ePIzPSp3Vc&amp;sz=s1000" TargetMode="External"/><Relationship Id="rId228" Type="http://schemas.openxmlformats.org/officeDocument/2006/relationships/hyperlink" Target="https://drive.google.com/file/d/1Dp0iR1qkn8hZ49l7Pa6zIXeQOV7KnBkS/view?usp=sharing" TargetMode="External"/><Relationship Id="rId349" Type="http://schemas.openxmlformats.org/officeDocument/2006/relationships/hyperlink" Target="https://drive.google.com/thumbnail?id=19o75ANXVl7ktuqGvBDaNwC2-iIFkS3lI&amp;sz=s1000" TargetMode="External"/><Relationship Id="rId106" Type="http://schemas.openxmlformats.org/officeDocument/2006/relationships/hyperlink" Target="https://drive.google.com/file/d/13nEL0nG4RssBKEaa6S76e0ePIzPSp3Vc/view?usp=sharing" TargetMode="External"/><Relationship Id="rId227" Type="http://schemas.openxmlformats.org/officeDocument/2006/relationships/hyperlink" Target="https://drive.google.com/thumbnail?id=1DnYHmgcruCcYpHQxZd4UM0zxsMOMxZgt&amp;sz=s1000" TargetMode="External"/><Relationship Id="rId348" Type="http://schemas.openxmlformats.org/officeDocument/2006/relationships/hyperlink" Target="https://drive.google.com/file/d/19o75ANXVl7ktuqGvBDaNwC2-iIFkS3lI/view?usp=sharing" TargetMode="External"/><Relationship Id="rId469" Type="http://schemas.openxmlformats.org/officeDocument/2006/relationships/hyperlink" Target="https://drive.google.com/file/d/17tI5yyfm3bEBeZrS65J7vog4uvTijNgK/view?usp=sharing" TargetMode="External"/><Relationship Id="rId105" Type="http://schemas.openxmlformats.org/officeDocument/2006/relationships/hyperlink" Target="https://drive.google.com/thumbnail?id=15EnVZrBverlaSeFavTOo7PVCpOrF_W9M&amp;sz=s1000" TargetMode="External"/><Relationship Id="rId226" Type="http://schemas.openxmlformats.org/officeDocument/2006/relationships/hyperlink" Target="https://drive.google.com/file/d/1DnYHmgcruCcYpHQxZd4UM0zxsMOMxZgt/view?usp=sharing" TargetMode="External"/><Relationship Id="rId347" Type="http://schemas.openxmlformats.org/officeDocument/2006/relationships/hyperlink" Target="https://drive.google.com/thumbnail?id=19qrpYZIV7R-ZNjmamxJlueBLEO-hsnlA&amp;sz=s1000" TargetMode="External"/><Relationship Id="rId468" Type="http://schemas.openxmlformats.org/officeDocument/2006/relationships/hyperlink" Target="https://drive.google.com/thumbnail?id=1DPBbXYPhqQGaGT8eEoYZvoCeBjzrw6V7&amp;sz=s1000" TargetMode="External"/><Relationship Id="rId104" Type="http://schemas.openxmlformats.org/officeDocument/2006/relationships/hyperlink" Target="https://drive.google.com/file/d/15EnVZrBverlaSeFavTOo7PVCpOrF_W9M/view?usp=sharing" TargetMode="External"/><Relationship Id="rId225" Type="http://schemas.openxmlformats.org/officeDocument/2006/relationships/hyperlink" Target="https://drive.google.com/thumbnail?id=1DeSBY9yBNt8URW2CDpUygmLr9eykokfO&amp;sz=s1000" TargetMode="External"/><Relationship Id="rId346" Type="http://schemas.openxmlformats.org/officeDocument/2006/relationships/hyperlink" Target="https://drive.google.com/file/d/19qrpYZIV7R-ZNjmamxJlueBLEO-hsnlA/view?usp=sharing" TargetMode="External"/><Relationship Id="rId467" Type="http://schemas.openxmlformats.org/officeDocument/2006/relationships/hyperlink" Target="https://drive.google.com/file/d/1DPBbXYPhqQGaGT8eEoYZvoCeBjzrw6V7/view?usp=sharing" TargetMode="External"/><Relationship Id="rId109" Type="http://schemas.openxmlformats.org/officeDocument/2006/relationships/hyperlink" Target="https://drive.google.com/thumbnail?id=14-eZM420wj56EIPPCvLwiasER7PZBbyO&amp;sz=s1000" TargetMode="External"/><Relationship Id="rId108" Type="http://schemas.openxmlformats.org/officeDocument/2006/relationships/hyperlink" Target="https://drive.google.com/file/d/14-eZM420wj56EIPPCvLwiasER7PZBbyO/view?usp=sharing" TargetMode="External"/><Relationship Id="rId229" Type="http://schemas.openxmlformats.org/officeDocument/2006/relationships/hyperlink" Target="https://drive.google.com/thumbnail?id=1Dp0iR1qkn8hZ49l7Pa6zIXeQOV7KnBkS&amp;sz=s1000" TargetMode="External"/><Relationship Id="rId220" Type="http://schemas.openxmlformats.org/officeDocument/2006/relationships/hyperlink" Target="https://drive.google.com/file/d/1EFtSVWClaE5uAkUzlz8ClYEuWdNxMsIY/view?usp=sharing" TargetMode="External"/><Relationship Id="rId341" Type="http://schemas.openxmlformats.org/officeDocument/2006/relationships/hyperlink" Target="https://drive.google.com/thumbnail?id=19Cp41SX_F_0AmFeilEdCZhl6W1gJZ2Fy&amp;sz=s1000" TargetMode="External"/><Relationship Id="rId462" Type="http://schemas.openxmlformats.org/officeDocument/2006/relationships/hyperlink" Target="https://drive.google.com/thumbnail?id=1D5IwfiOD85b7IQK-hhs3QPloFjqf_Zn0&amp;sz=s1000" TargetMode="External"/><Relationship Id="rId340" Type="http://schemas.openxmlformats.org/officeDocument/2006/relationships/hyperlink" Target="https://drive.google.com/file/d/19Cp41SX_F_0AmFeilEdCZhl6W1gJZ2Fy/view?usp=sharing" TargetMode="External"/><Relationship Id="rId461" Type="http://schemas.openxmlformats.org/officeDocument/2006/relationships/hyperlink" Target="https://drive.google.com/file/d/1D5IwfiOD85b7IQK-hhs3QPloFjqf_Zn0/view?usp=sharing" TargetMode="External"/><Relationship Id="rId460" Type="http://schemas.openxmlformats.org/officeDocument/2006/relationships/hyperlink" Target="https://drive.google.com/thumbnail?id=1DI05hIvsNesTZINGirZz9UTI_5aJQ_Tj&amp;sz=s1000" TargetMode="External"/><Relationship Id="rId103" Type="http://schemas.openxmlformats.org/officeDocument/2006/relationships/hyperlink" Target="https://drive.google.com/thumbnail?id=137wtoZ-sWLYEvfQG2oSlDwU2GRmTVc_s&amp;sz=s1000" TargetMode="External"/><Relationship Id="rId224" Type="http://schemas.openxmlformats.org/officeDocument/2006/relationships/hyperlink" Target="https://drive.google.com/file/d/1DeSBY9yBNt8URW2CDpUygmLr9eykokfO/view?usp=sharing" TargetMode="External"/><Relationship Id="rId345" Type="http://schemas.openxmlformats.org/officeDocument/2006/relationships/hyperlink" Target="https://drive.google.com/thumbnail?id=19r08Ikahg8rUo1WD_xHM8EafR8J1cJPp&amp;sz=s1000" TargetMode="External"/><Relationship Id="rId466" Type="http://schemas.openxmlformats.org/officeDocument/2006/relationships/hyperlink" Target="https://drive.google.com/thumbnail?id=1DRuM7KsbKR7kFCE9W44RlFZe3H_JCeXK&amp;sz=s1000" TargetMode="External"/><Relationship Id="rId102" Type="http://schemas.openxmlformats.org/officeDocument/2006/relationships/hyperlink" Target="https://drive.google.com/file/d/137wtoZ-sWLYEvfQG2oSlDwU2GRmTVc_s/view?usp=sharing" TargetMode="External"/><Relationship Id="rId223" Type="http://schemas.openxmlformats.org/officeDocument/2006/relationships/hyperlink" Target="https://drive.google.com/thumbnail?id=1EQVYje4PvIyJgJIc08pWcCPr7i5wUPLg&amp;sz=s1000" TargetMode="External"/><Relationship Id="rId344" Type="http://schemas.openxmlformats.org/officeDocument/2006/relationships/hyperlink" Target="https://drive.google.com/file/d/19r08Ikahg8rUo1WD_xHM8EafR8J1cJPp/view?usp=sharing" TargetMode="External"/><Relationship Id="rId465" Type="http://schemas.openxmlformats.org/officeDocument/2006/relationships/hyperlink" Target="https://drive.google.com/file/d/1DRuM7KsbKR7kFCE9W44RlFZe3H_JCeXK/view?usp=sharing" TargetMode="External"/><Relationship Id="rId101" Type="http://schemas.openxmlformats.org/officeDocument/2006/relationships/hyperlink" Target="https://drive.google.com/thumbnail?id=12IEcrndGtkHAVNP5_k6TmaO4dhsTCyKk&amp;sz=s1000" TargetMode="External"/><Relationship Id="rId222" Type="http://schemas.openxmlformats.org/officeDocument/2006/relationships/hyperlink" Target="https://drive.google.com/file/d/1EQVYje4PvIyJgJIc08pWcCPr7i5wUPLg/view?usp=sharing" TargetMode="External"/><Relationship Id="rId343" Type="http://schemas.openxmlformats.org/officeDocument/2006/relationships/hyperlink" Target="https://drive.google.com/thumbnail?id=19BMjgKo7JeOVdaouuQ2hq7qevpFmjdrG&amp;sz=s1000" TargetMode="External"/><Relationship Id="rId464" Type="http://schemas.openxmlformats.org/officeDocument/2006/relationships/hyperlink" Target="https://drive.google.com/thumbnail?id=1D4zU7J5TgDVpkEoXrAy_OaBYLzJ7M71K&amp;sz=s1000" TargetMode="External"/><Relationship Id="rId100" Type="http://schemas.openxmlformats.org/officeDocument/2006/relationships/hyperlink" Target="https://drive.google.com/file/d/12IEcrndGtkHAVNP5_k6TmaO4dhsTCyKk/view?usp=sharing" TargetMode="External"/><Relationship Id="rId221" Type="http://schemas.openxmlformats.org/officeDocument/2006/relationships/hyperlink" Target="https://drive.google.com/thumbnail?id=1EFtSVWClaE5uAkUzlz8ClYEuWdNxMsIY&amp;sz=s1000" TargetMode="External"/><Relationship Id="rId342" Type="http://schemas.openxmlformats.org/officeDocument/2006/relationships/hyperlink" Target="https://drive.google.com/file/d/19BMjgKo7JeOVdaouuQ2hq7qevpFmjdrG/view?usp=sharing" TargetMode="External"/><Relationship Id="rId463" Type="http://schemas.openxmlformats.org/officeDocument/2006/relationships/hyperlink" Target="https://drive.google.com/file/d/1D4zU7J5TgDVpkEoXrAy_OaBYLzJ7M71K/view?usp=sharing" TargetMode="External"/><Relationship Id="rId217" Type="http://schemas.openxmlformats.org/officeDocument/2006/relationships/hyperlink" Target="https://drive.google.com/thumbnail?id=1DSReNxr6NL0fd_JFai7HIW7WfK1yF6vV&amp;sz=s1000" TargetMode="External"/><Relationship Id="rId338" Type="http://schemas.openxmlformats.org/officeDocument/2006/relationships/hyperlink" Target="https://drive.google.com/file/d/19Fhksylal3Ky-CzYf1RIiWYOG0XdAFOB/view?usp=sharing" TargetMode="External"/><Relationship Id="rId459" Type="http://schemas.openxmlformats.org/officeDocument/2006/relationships/hyperlink" Target="https://drive.google.com/file/d/1DI05hIvsNesTZINGirZz9UTI_5aJQ_Tj/view?usp=sharing" TargetMode="External"/><Relationship Id="rId216" Type="http://schemas.openxmlformats.org/officeDocument/2006/relationships/hyperlink" Target="https://drive.google.com/file/d/1DSReNxr6NL0fd_JFai7HIW7WfK1yF6vV/view?usp=sharing" TargetMode="External"/><Relationship Id="rId337" Type="http://schemas.openxmlformats.org/officeDocument/2006/relationships/hyperlink" Target="https://drive.google.com/thumbnail?id=19Fn31B9cCjLo_j94OUMKBBR8US-oPpZR&amp;sz=s1000" TargetMode="External"/><Relationship Id="rId458" Type="http://schemas.openxmlformats.org/officeDocument/2006/relationships/hyperlink" Target="https://drive.google.com/thumbnail?id=1D-uhXxA1Z_bZUNgEgCwAo7sCb0FFLLbZ&amp;sz=s1000" TargetMode="External"/><Relationship Id="rId215" Type="http://schemas.openxmlformats.org/officeDocument/2006/relationships/hyperlink" Target="https://drive.google.com/thumbnail?id=16s8wsn0t9h0t7oUkQitCWSgjMSDO2sWF&amp;sz=s1000" TargetMode="External"/><Relationship Id="rId336" Type="http://schemas.openxmlformats.org/officeDocument/2006/relationships/hyperlink" Target="https://drive.google.com/file/d/19Fn31B9cCjLo_j94OUMKBBR8US-oPpZR/view?usp=sharing" TargetMode="External"/><Relationship Id="rId457" Type="http://schemas.openxmlformats.org/officeDocument/2006/relationships/hyperlink" Target="https://drive.google.com/file/d/1D-uhXxA1Z_bZUNgEgCwAo7sCb0FFLLbZ/view?usp=sharing" TargetMode="External"/><Relationship Id="rId214" Type="http://schemas.openxmlformats.org/officeDocument/2006/relationships/hyperlink" Target="https://drive.google.com/file/d/16s8wsn0t9h0t7oUkQitCWSgjMSDO2sWF/view?usp=sharing" TargetMode="External"/><Relationship Id="rId335" Type="http://schemas.openxmlformats.org/officeDocument/2006/relationships/hyperlink" Target="https://drive.google.com/thumbnail?id=19I8Ep_M5vsOw7CC9myhBohX9MCR_AX7V&amp;sz=s1000" TargetMode="External"/><Relationship Id="rId456" Type="http://schemas.openxmlformats.org/officeDocument/2006/relationships/hyperlink" Target="https://drive.google.com/thumbnail?id=1CwBF4ZYD8OuewxDaQqDYcwvXpzm8LvGb&amp;sz=s1000" TargetMode="External"/><Relationship Id="rId577" Type="http://schemas.openxmlformats.org/officeDocument/2006/relationships/drawing" Target="../drawings/drawing1.xml"/><Relationship Id="rId219" Type="http://schemas.openxmlformats.org/officeDocument/2006/relationships/hyperlink" Target="https://drive.google.com/thumbnail?id=1EBRhj-d7UqzS7ngds3CmsEcxsKFV3_7x&amp;sz=s1000" TargetMode="External"/><Relationship Id="rId218" Type="http://schemas.openxmlformats.org/officeDocument/2006/relationships/hyperlink" Target="https://drive.google.com/file/d/1EBRhj-d7UqzS7ngds3CmsEcxsKFV3_7x/view?usp=sharing" TargetMode="External"/><Relationship Id="rId339" Type="http://schemas.openxmlformats.org/officeDocument/2006/relationships/hyperlink" Target="https://drive.google.com/thumbnail?id=19Fhksylal3Ky-CzYf1RIiWYOG0XdAFOB&amp;sz=s1000" TargetMode="External"/><Relationship Id="rId330" Type="http://schemas.openxmlformats.org/officeDocument/2006/relationships/hyperlink" Target="https://drive.google.com/file/d/198EG1_4AbyzYPAm4ODVJ9YIowsl4CHCM/view?usp=sharing" TargetMode="External"/><Relationship Id="rId451" Type="http://schemas.openxmlformats.org/officeDocument/2006/relationships/hyperlink" Target="https://drive.google.com/file/d/1CsLDRlC5FBXQKfD7t2yD8I9sqJw9FJrZ/view?usp=sharing" TargetMode="External"/><Relationship Id="rId572" Type="http://schemas.openxmlformats.org/officeDocument/2006/relationships/hyperlink" Target="https://drive.google.com/thumbnail?id=1tnkj2BsQCL6ek5kH_JqXUau-fwLKLGPl&amp;sz=s1000" TargetMode="External"/><Relationship Id="rId450" Type="http://schemas.openxmlformats.org/officeDocument/2006/relationships/hyperlink" Target="https://drive.google.com/thumbnail?id=1Cu_SnS9HhGJaZXm5cJchN4JyksQvJLEK&amp;sz=s1000" TargetMode="External"/><Relationship Id="rId571" Type="http://schemas.openxmlformats.org/officeDocument/2006/relationships/hyperlink" Target="https://drive.google.com/file/d/1tnkj2BsQCL6ek5kH_JqXUau-fwLKLGPl/view?usp=sharing" TargetMode="External"/><Relationship Id="rId570" Type="http://schemas.openxmlformats.org/officeDocument/2006/relationships/hyperlink" Target="https://drive.google.com/thumbnail?id=1rkb51qCIJeac7R9tWXQzCBjnrjSUA6ui&amp;sz=s1000" TargetMode="External"/><Relationship Id="rId213" Type="http://schemas.openxmlformats.org/officeDocument/2006/relationships/hyperlink" Target="https://drive.google.com/thumbnail?id=15ShuG0CpZCZ3EkhXla3kqq7BxAfmUwpK&amp;sz=s1000" TargetMode="External"/><Relationship Id="rId334" Type="http://schemas.openxmlformats.org/officeDocument/2006/relationships/hyperlink" Target="https://drive.google.com/file/d/19I8Ep_M5vsOw7CC9myhBohX9MCR_AX7V/view?usp=sharing" TargetMode="External"/><Relationship Id="rId455" Type="http://schemas.openxmlformats.org/officeDocument/2006/relationships/hyperlink" Target="https://drive.google.com/file/d/1CwBF4ZYD8OuewxDaQqDYcwvXpzm8LvGb/view?usp=sharing" TargetMode="External"/><Relationship Id="rId576" Type="http://schemas.openxmlformats.org/officeDocument/2006/relationships/hyperlink" Target="https://drive.google.com/thumbnail?id=1FJP21-mEeSmItAT-l9S33zV21qHy6Vra&amp;sz=s1000" TargetMode="External"/><Relationship Id="rId212" Type="http://schemas.openxmlformats.org/officeDocument/2006/relationships/hyperlink" Target="https://drive.google.com/file/d/15ShuG0CpZCZ3EkhXla3kqq7BxAfmUwpK/view?usp=sharing" TargetMode="External"/><Relationship Id="rId333" Type="http://schemas.openxmlformats.org/officeDocument/2006/relationships/hyperlink" Target="https://drive.google.com/thumbnail?id=193DAhICLCp9V7M1mOKccGqIcHigLQ2UY&amp;sz=s1000" TargetMode="External"/><Relationship Id="rId454" Type="http://schemas.openxmlformats.org/officeDocument/2006/relationships/hyperlink" Target="https://drive.google.com/thumbnail?id=1ClZ2wScH7lizEh4WUyb0mhsLBntC6F0w&amp;sz=s1000" TargetMode="External"/><Relationship Id="rId575" Type="http://schemas.openxmlformats.org/officeDocument/2006/relationships/hyperlink" Target="https://drive.google.com/file/d/1FJP21-mEeSmItAT-l9S33zV21qHy6Vra/view?usp=sharing" TargetMode="External"/><Relationship Id="rId211" Type="http://schemas.openxmlformats.org/officeDocument/2006/relationships/hyperlink" Target="https://drive.google.com/thumbnail?id=15oTl1gfnEqpSTNVXclIQzNXipQuG7LhO&amp;sz=s1000" TargetMode="External"/><Relationship Id="rId332" Type="http://schemas.openxmlformats.org/officeDocument/2006/relationships/hyperlink" Target="https://drive.google.com/file/d/193DAhICLCp9V7M1mOKccGqIcHigLQ2UY/view?usp=sharing" TargetMode="External"/><Relationship Id="rId453" Type="http://schemas.openxmlformats.org/officeDocument/2006/relationships/hyperlink" Target="https://drive.google.com/file/d/1ClZ2wScH7lizEh4WUyb0mhsLBntC6F0w/view?usp=sharing" TargetMode="External"/><Relationship Id="rId574" Type="http://schemas.openxmlformats.org/officeDocument/2006/relationships/hyperlink" Target="https://drive.google.com/thumbnail?id=1DadJQxDPlVtpEP3QChyXqoIEhUrjGzbg&amp;sz=s1000" TargetMode="External"/><Relationship Id="rId210" Type="http://schemas.openxmlformats.org/officeDocument/2006/relationships/hyperlink" Target="https://drive.google.com/file/d/15oTl1gfnEqpSTNVXclIQzNXipQuG7LhO/view?usp=sharing" TargetMode="External"/><Relationship Id="rId331" Type="http://schemas.openxmlformats.org/officeDocument/2006/relationships/hyperlink" Target="https://drive.google.com/thumbnail?id=198EG1_4AbyzYPAm4ODVJ9YIowsl4CHCM&amp;sz=s1000" TargetMode="External"/><Relationship Id="rId452" Type="http://schemas.openxmlformats.org/officeDocument/2006/relationships/hyperlink" Target="https://drive.google.com/thumbnail?id=1CsLDRlC5FBXQKfD7t2yD8I9sqJw9FJrZ&amp;sz=s1000" TargetMode="External"/><Relationship Id="rId573" Type="http://schemas.openxmlformats.org/officeDocument/2006/relationships/hyperlink" Target="https://drive.google.com/file/d/1DadJQxDPlVtpEP3QChyXqoIEhUrjGzbg/view?usp=sharing" TargetMode="External"/><Relationship Id="rId370" Type="http://schemas.openxmlformats.org/officeDocument/2006/relationships/hyperlink" Target="https://drive.google.com/file/d/1AE_V3kITnqXKt5N0DDCdnXY_ZW6LkGcE/view?usp=sharing" TargetMode="External"/><Relationship Id="rId491" Type="http://schemas.openxmlformats.org/officeDocument/2006/relationships/hyperlink" Target="https://drive.google.com/file/d/18W0pV7CDclgGYMf6sgcqOXZT29F_Ppo0/view?usp=sharing" TargetMode="External"/><Relationship Id="rId490" Type="http://schemas.openxmlformats.org/officeDocument/2006/relationships/hyperlink" Target="https://drive.google.com/thumbnail?id=18UyvH9xhoNhOZ4wtkUpwzN_TXOknTWzo&amp;sz=s1000" TargetMode="External"/><Relationship Id="rId129" Type="http://schemas.openxmlformats.org/officeDocument/2006/relationships/hyperlink" Target="https://drive.google.com/thumbnail?id=13z8YlWmOIh88QZnBxfmrOtuv3G6e-RGq&amp;sz=s1000" TargetMode="External"/><Relationship Id="rId128" Type="http://schemas.openxmlformats.org/officeDocument/2006/relationships/hyperlink" Target="https://drive.google.com/file/d/13z8YlWmOIh88QZnBxfmrOtuv3G6e-RGq/view?usp=sharing" TargetMode="External"/><Relationship Id="rId249" Type="http://schemas.openxmlformats.org/officeDocument/2006/relationships/hyperlink" Target="https://drive.google.com/thumbnail?id=1DT-Dg2ikstvM4tq5E1jIpEKnXKJEt7Ao&amp;sz=s1000" TargetMode="External"/><Relationship Id="rId127" Type="http://schemas.openxmlformats.org/officeDocument/2006/relationships/hyperlink" Target="https://drive.google.com/thumbnail?id=14oFw8Hv-ywLSRrmYPVnM69mgcAn3nhBy&amp;sz=s1000" TargetMode="External"/><Relationship Id="rId248" Type="http://schemas.openxmlformats.org/officeDocument/2006/relationships/hyperlink" Target="https://drive.google.com/file/d/1DT-Dg2ikstvM4tq5E1jIpEKnXKJEt7Ao/view?usp=sharing" TargetMode="External"/><Relationship Id="rId369" Type="http://schemas.openxmlformats.org/officeDocument/2006/relationships/hyperlink" Target="https://drive.google.com/thumbnail?id=1ADce0ydhIS6d_5kKkzROMpULsHW5Ch_N&amp;sz=s1000" TargetMode="External"/><Relationship Id="rId126" Type="http://schemas.openxmlformats.org/officeDocument/2006/relationships/hyperlink" Target="https://drive.google.com/file/d/14oFw8Hv-ywLSRrmYPVnM69mgcAn3nhBy/view?usp=sharing" TargetMode="External"/><Relationship Id="rId247" Type="http://schemas.openxmlformats.org/officeDocument/2006/relationships/hyperlink" Target="https://drive.google.com/thumbnail?id=1DT_6VKdXkHCOUhBaBVIV-qW8bdchyC0X&amp;sz=s1000" TargetMode="External"/><Relationship Id="rId368" Type="http://schemas.openxmlformats.org/officeDocument/2006/relationships/hyperlink" Target="https://drive.google.com/file/d/1ADce0ydhIS6d_5kKkzROMpULsHW5Ch_N/view?usp=sharing" TargetMode="External"/><Relationship Id="rId489" Type="http://schemas.openxmlformats.org/officeDocument/2006/relationships/hyperlink" Target="https://drive.google.com/file/d/18UyvH9xhoNhOZ4wtkUpwzN_TXOknTWzo/view?usp=sharing" TargetMode="External"/><Relationship Id="rId121" Type="http://schemas.openxmlformats.org/officeDocument/2006/relationships/hyperlink" Target="https://drive.google.com/thumbnail?id=13oRYX43GNDVmOLdjvku46DVLp_n4r9Ln&amp;sz=s1000" TargetMode="External"/><Relationship Id="rId242" Type="http://schemas.openxmlformats.org/officeDocument/2006/relationships/hyperlink" Target="https://drive.google.com/file/d/1EYcBHZIN8L61kfXk2OwiS22nRjAE_MKu/view?usp=sharing" TargetMode="External"/><Relationship Id="rId363" Type="http://schemas.openxmlformats.org/officeDocument/2006/relationships/hyperlink" Target="https://drive.google.com/thumbnail?id=1AASeMy6slP2duuAxeBDXID4PC4zIvYmc&amp;sz=s1000" TargetMode="External"/><Relationship Id="rId484" Type="http://schemas.openxmlformats.org/officeDocument/2006/relationships/hyperlink" Target="https://drive.google.com/thumbnail?id=18NHiqIqqjfNG5e0l-ETv1vBG0ubrasvU&amp;sz=s1000" TargetMode="External"/><Relationship Id="rId120" Type="http://schemas.openxmlformats.org/officeDocument/2006/relationships/hyperlink" Target="https://drive.google.com/file/d/13oRYX43GNDVmOLdjvku46DVLp_n4r9Ln/view?usp=sharing" TargetMode="External"/><Relationship Id="rId241" Type="http://schemas.openxmlformats.org/officeDocument/2006/relationships/hyperlink" Target="https://drive.google.com/thumbnail?id=1E1joos-Wu5HqzT7t1n_qbEkckz5bJ1bI&amp;sz=s1000" TargetMode="External"/><Relationship Id="rId362" Type="http://schemas.openxmlformats.org/officeDocument/2006/relationships/hyperlink" Target="https://drive.google.com/file/d/1AASeMy6slP2duuAxeBDXID4PC4zIvYmc/view?usp=sharing" TargetMode="External"/><Relationship Id="rId483" Type="http://schemas.openxmlformats.org/officeDocument/2006/relationships/hyperlink" Target="https://drive.google.com/file/d/18NHiqIqqjfNG5e0l-ETv1vBG0ubrasvU/view?usp=sharing" TargetMode="External"/><Relationship Id="rId240" Type="http://schemas.openxmlformats.org/officeDocument/2006/relationships/hyperlink" Target="https://drive.google.com/file/d/1E1joos-Wu5HqzT7t1n_qbEkckz5bJ1bI/view?usp=sharing" TargetMode="External"/><Relationship Id="rId361" Type="http://schemas.openxmlformats.org/officeDocument/2006/relationships/hyperlink" Target="https://drive.google.com/thumbnail?id=19IzyFAFsUKDq1YcFJxlqDduC9kXTwosE&amp;sz=s1000" TargetMode="External"/><Relationship Id="rId482" Type="http://schemas.openxmlformats.org/officeDocument/2006/relationships/hyperlink" Target="https://drive.google.com/thumbnail?id=18IXlrFZzP1oDoy1iQNoVrkpjbuHkdigH&amp;sz=s1000" TargetMode="External"/><Relationship Id="rId360" Type="http://schemas.openxmlformats.org/officeDocument/2006/relationships/hyperlink" Target="https://drive.google.com/file/d/19IzyFAFsUKDq1YcFJxlqDduC9kXTwosE/view?usp=sharing" TargetMode="External"/><Relationship Id="rId481" Type="http://schemas.openxmlformats.org/officeDocument/2006/relationships/hyperlink" Target="https://drive.google.com/file/d/18IXlrFZzP1oDoy1iQNoVrkpjbuHkdigH/view?usp=sharing" TargetMode="External"/><Relationship Id="rId125" Type="http://schemas.openxmlformats.org/officeDocument/2006/relationships/hyperlink" Target="https://drive.google.com/thumbnail?id=15ACSN8DTo9vMjC9tzDu2_y6lnFzfh-KE&amp;sz=s1000" TargetMode="External"/><Relationship Id="rId246" Type="http://schemas.openxmlformats.org/officeDocument/2006/relationships/hyperlink" Target="https://drive.google.com/file/d/1DT_6VKdXkHCOUhBaBVIV-qW8bdchyC0X/view?usp=sharing" TargetMode="External"/><Relationship Id="rId367" Type="http://schemas.openxmlformats.org/officeDocument/2006/relationships/hyperlink" Target="https://drive.google.com/thumbnail?id=19xt1QITJXpuhldR6UaHxkeFqQKshLtuN&amp;sz=s1000" TargetMode="External"/><Relationship Id="rId488" Type="http://schemas.openxmlformats.org/officeDocument/2006/relationships/hyperlink" Target="https://drive.google.com/thumbnail?id=18USsFOPLDynWWmFTm4CB9DEsy1WMOPS_&amp;sz=s1000" TargetMode="External"/><Relationship Id="rId124" Type="http://schemas.openxmlformats.org/officeDocument/2006/relationships/hyperlink" Target="https://drive.google.com/file/d/15ACSN8DTo9vMjC9tzDu2_y6lnFzfh-KE/view?usp=sharing" TargetMode="External"/><Relationship Id="rId245" Type="http://schemas.openxmlformats.org/officeDocument/2006/relationships/hyperlink" Target="https://drive.google.com/thumbnail?id=1Ec0aXSoFuW1L2V9KjmPSKiwwFnTx35rm&amp;sz=s1000" TargetMode="External"/><Relationship Id="rId366" Type="http://schemas.openxmlformats.org/officeDocument/2006/relationships/hyperlink" Target="https://drive.google.com/file/d/19xt1QITJXpuhldR6UaHxkeFqQKshLtuN/view?usp=sharing" TargetMode="External"/><Relationship Id="rId487" Type="http://schemas.openxmlformats.org/officeDocument/2006/relationships/hyperlink" Target="https://drive.google.com/file/d/18USsFOPLDynWWmFTm4CB9DEsy1WMOPS_/view?usp=sharing" TargetMode="External"/><Relationship Id="rId123" Type="http://schemas.openxmlformats.org/officeDocument/2006/relationships/hyperlink" Target="https://drive.google.com/thumbnail?id=14R1oSPOkUNRU-hKguYDhmzArj0tuhFV7&amp;sz=s1000" TargetMode="External"/><Relationship Id="rId244" Type="http://schemas.openxmlformats.org/officeDocument/2006/relationships/hyperlink" Target="https://drive.google.com/file/d/1Ec0aXSoFuW1L2V9KjmPSKiwwFnTx35rm/view?usp=sharing" TargetMode="External"/><Relationship Id="rId365" Type="http://schemas.openxmlformats.org/officeDocument/2006/relationships/hyperlink" Target="https://drive.google.com/thumbnail?id=1A4ZnqzT3QAXsY2s5wGMZiS49gT6iXydI&amp;sz=s1000" TargetMode="External"/><Relationship Id="rId486" Type="http://schemas.openxmlformats.org/officeDocument/2006/relationships/hyperlink" Target="https://drive.google.com/thumbnail?id=1EPZGSYsxrL28sZvxy25Vc7dC5JqBKVOJ&amp;sz=s1000" TargetMode="External"/><Relationship Id="rId122" Type="http://schemas.openxmlformats.org/officeDocument/2006/relationships/hyperlink" Target="https://drive.google.com/file/d/14R1oSPOkUNRU-hKguYDhmzArj0tuhFV7/view?usp=sharing" TargetMode="External"/><Relationship Id="rId243" Type="http://schemas.openxmlformats.org/officeDocument/2006/relationships/hyperlink" Target="https://drive.google.com/thumbnail?id=1EYcBHZIN8L61kfXk2OwiS22nRjAE_MKu&amp;sz=s1000" TargetMode="External"/><Relationship Id="rId364" Type="http://schemas.openxmlformats.org/officeDocument/2006/relationships/hyperlink" Target="https://drive.google.com/file/d/1A4ZnqzT3QAXsY2s5wGMZiS49gT6iXydI/view?usp=sharing" TargetMode="External"/><Relationship Id="rId485" Type="http://schemas.openxmlformats.org/officeDocument/2006/relationships/hyperlink" Target="https://drive.google.com/file/d/1EPZGSYsxrL28sZvxy25Vc7dC5JqBKVOJ/view?usp=sharing" TargetMode="External"/><Relationship Id="rId95" Type="http://schemas.openxmlformats.org/officeDocument/2006/relationships/hyperlink" Target="https://drive.google.com/thumbnail?id=1-wY4f4-EXGuAg_LSWiHZ5k0iNCy3b2OS&amp;sz=s1000" TargetMode="External"/><Relationship Id="rId94" Type="http://schemas.openxmlformats.org/officeDocument/2006/relationships/hyperlink" Target="https://drive.google.com/file/d/1-wY4f4-EXGuAg_LSWiHZ5k0iNCy3b2OS/view?usp=sharing" TargetMode="External"/><Relationship Id="rId97" Type="http://schemas.openxmlformats.org/officeDocument/2006/relationships/hyperlink" Target="https://drive.google.com/thumbnail?id=12VK5CpfjeLDtekKOCNX0fx3ybv6FjuPr&amp;sz=s1000" TargetMode="External"/><Relationship Id="rId96" Type="http://schemas.openxmlformats.org/officeDocument/2006/relationships/hyperlink" Target="https://drive.google.com/file/d/12VK5CpfjeLDtekKOCNX0fx3ybv6FjuPr/view?usp=sharing" TargetMode="External"/><Relationship Id="rId99" Type="http://schemas.openxmlformats.org/officeDocument/2006/relationships/hyperlink" Target="https://drive.google.com/thumbnail?id=12XSk04HrMLsG9JJFnShPgrCKun4hUt9v&amp;sz=s1000" TargetMode="External"/><Relationship Id="rId480" Type="http://schemas.openxmlformats.org/officeDocument/2006/relationships/hyperlink" Target="https://drive.google.com/thumbnail?id=18CkOXzBUU1MI37uWRHJxsrUFUc7xDqfI&amp;sz=s1000" TargetMode="External"/><Relationship Id="rId98" Type="http://schemas.openxmlformats.org/officeDocument/2006/relationships/hyperlink" Target="https://drive.google.com/file/d/12XSk04HrMLsG9JJFnShPgrCKun4hUt9v/view?usp=sharing" TargetMode="External"/><Relationship Id="rId91" Type="http://schemas.openxmlformats.org/officeDocument/2006/relationships/hyperlink" Target="https://drive.google.com/thumbnail?id=11BkHKmsBryp6dOKe1dEV1NvCZ7QEIVDz&amp;sz=s1000" TargetMode="External"/><Relationship Id="rId90" Type="http://schemas.openxmlformats.org/officeDocument/2006/relationships/hyperlink" Target="https://drive.google.com/file/d/11BkHKmsBryp6dOKe1dEV1NvCZ7QEIVDz/view?usp=sharing" TargetMode="External"/><Relationship Id="rId93" Type="http://schemas.openxmlformats.org/officeDocument/2006/relationships/hyperlink" Target="https://drive.google.com/thumbnail?id=1-Umn8YSFuAoEUsMx9TEkGHLZqPm3bT9s&amp;sz=s1000" TargetMode="External"/><Relationship Id="rId92" Type="http://schemas.openxmlformats.org/officeDocument/2006/relationships/hyperlink" Target="https://drive.google.com/file/d/1-Umn8YSFuAoEUsMx9TEkGHLZqPm3bT9s/view?usp=sharing" TargetMode="External"/><Relationship Id="rId118" Type="http://schemas.openxmlformats.org/officeDocument/2006/relationships/hyperlink" Target="https://drive.google.com/file/d/145OfQsXje0atGbtGmjruejYTfEVPopHJ/view?usp=sharing" TargetMode="External"/><Relationship Id="rId239" Type="http://schemas.openxmlformats.org/officeDocument/2006/relationships/hyperlink" Target="https://drive.google.com/thumbnail?id=1ESrFCA3xnGwgexEiPGFskqXXDB26Zfp0&amp;sz=s1000" TargetMode="External"/><Relationship Id="rId117" Type="http://schemas.openxmlformats.org/officeDocument/2006/relationships/hyperlink" Target="https://drive.google.com/thumbnail?id=13pvURNGsii5Bymh92TYWlvgO5umaJKZC&amp;sz=s1000" TargetMode="External"/><Relationship Id="rId238" Type="http://schemas.openxmlformats.org/officeDocument/2006/relationships/hyperlink" Target="https://drive.google.com/file/d/1ESrFCA3xnGwgexEiPGFskqXXDB26Zfp0/view?usp=sharing" TargetMode="External"/><Relationship Id="rId359" Type="http://schemas.openxmlformats.org/officeDocument/2006/relationships/hyperlink" Target="https://drive.google.com/thumbnail?id=19QtXspFHOJJoQB8iWweEN5vHap8BBCXJ&amp;sz=s1000" TargetMode="External"/><Relationship Id="rId116" Type="http://schemas.openxmlformats.org/officeDocument/2006/relationships/hyperlink" Target="https://drive.google.com/file/d/13pvURNGsii5Bymh92TYWlvgO5umaJKZC/view?usp=sharing" TargetMode="External"/><Relationship Id="rId237" Type="http://schemas.openxmlformats.org/officeDocument/2006/relationships/hyperlink" Target="https://drive.google.com/thumbnail?id=1EQ7If8sZmws9ACnuNhPo_7z6mZI2ZblV&amp;sz=s1000" TargetMode="External"/><Relationship Id="rId358" Type="http://schemas.openxmlformats.org/officeDocument/2006/relationships/hyperlink" Target="https://drive.google.com/file/d/19QtXspFHOJJoQB8iWweEN5vHap8BBCXJ/view?usp=sharing" TargetMode="External"/><Relationship Id="rId479" Type="http://schemas.openxmlformats.org/officeDocument/2006/relationships/hyperlink" Target="https://drive.google.com/file/d/18CkOXzBUU1MI37uWRHJxsrUFUc7xDqfI/view?usp=sharing" TargetMode="External"/><Relationship Id="rId115" Type="http://schemas.openxmlformats.org/officeDocument/2006/relationships/hyperlink" Target="https://drive.google.com/thumbnail?id=15Bhg5dLFJp5Z0uC8xS0nfAn8yFUovO8W&amp;sz=s1000" TargetMode="External"/><Relationship Id="rId236" Type="http://schemas.openxmlformats.org/officeDocument/2006/relationships/hyperlink" Target="https://drive.google.com/file/d/1EQ7If8sZmws9ACnuNhPo_7z6mZI2ZblV/view?usp=sharing" TargetMode="External"/><Relationship Id="rId357" Type="http://schemas.openxmlformats.org/officeDocument/2006/relationships/hyperlink" Target="https://drive.google.com/thumbnail?id=19WMIEfAAIqnKiZGVYVFl3jHVt0dhYIuP&amp;sz=s1000" TargetMode="External"/><Relationship Id="rId478" Type="http://schemas.openxmlformats.org/officeDocument/2006/relationships/hyperlink" Target="https://drive.google.com/thumbnail?id=18FyaeSB2TnRloRmkSZ06hArCxdEpY3Qj&amp;sz=s1000" TargetMode="External"/><Relationship Id="rId119" Type="http://schemas.openxmlformats.org/officeDocument/2006/relationships/hyperlink" Target="https://drive.google.com/thumbnail?id=145OfQsXje0atGbtGmjruejYTfEVPopHJ&amp;sz=s1000" TargetMode="External"/><Relationship Id="rId110" Type="http://schemas.openxmlformats.org/officeDocument/2006/relationships/hyperlink" Target="https://drive.google.com/file/d/15G1r4LIe8kfAg4FMszQI69Bqi2vgAf7u/view?usp=sharing" TargetMode="External"/><Relationship Id="rId231" Type="http://schemas.openxmlformats.org/officeDocument/2006/relationships/hyperlink" Target="https://drive.google.com/thumbnail?id=1EV7xYAW3Lx6lYOD4FPEBkLbnt0MF3ksZ&amp;sz=s1000" TargetMode="External"/><Relationship Id="rId352" Type="http://schemas.openxmlformats.org/officeDocument/2006/relationships/hyperlink" Target="https://drive.google.com/file/d/19hr4sAGOMk7YHM4zVmPk38SPhNFH3Xfp/view?usp=sharing" TargetMode="External"/><Relationship Id="rId473" Type="http://schemas.openxmlformats.org/officeDocument/2006/relationships/hyperlink" Target="https://drive.google.com/file/d/186lj9r-L_byv4nDgO1_EICSNDzQ_4yC3/view?usp=sharing" TargetMode="External"/><Relationship Id="rId230" Type="http://schemas.openxmlformats.org/officeDocument/2006/relationships/hyperlink" Target="https://drive.google.com/file/d/1EV7xYAW3Lx6lYOD4FPEBkLbnt0MF3ksZ/view?usp=sharing" TargetMode="External"/><Relationship Id="rId351" Type="http://schemas.openxmlformats.org/officeDocument/2006/relationships/hyperlink" Target="https://drive.google.com/thumbnail?id=19kyP2ARfiazfv4j6ixeBgYWz8UsbVfqU&amp;sz=s1000" TargetMode="External"/><Relationship Id="rId472" Type="http://schemas.openxmlformats.org/officeDocument/2006/relationships/hyperlink" Target="https://drive.google.com/thumbnail?id=17pdRikYlpy2MULgq5hz0z1jZie6OC4dq&amp;sz=s1000" TargetMode="External"/><Relationship Id="rId350" Type="http://schemas.openxmlformats.org/officeDocument/2006/relationships/hyperlink" Target="https://drive.google.com/file/d/19kyP2ARfiazfv4j6ixeBgYWz8UsbVfqU/view?usp=sharing" TargetMode="External"/><Relationship Id="rId471" Type="http://schemas.openxmlformats.org/officeDocument/2006/relationships/hyperlink" Target="https://drive.google.com/file/d/17pdRikYlpy2MULgq5hz0z1jZie6OC4dq/view?usp=sharing" TargetMode="External"/><Relationship Id="rId470" Type="http://schemas.openxmlformats.org/officeDocument/2006/relationships/hyperlink" Target="https://drive.google.com/thumbnail?id=17tI5yyfm3bEBeZrS65J7vog4uvTijNgK&amp;sz=s1000" TargetMode="External"/><Relationship Id="rId114" Type="http://schemas.openxmlformats.org/officeDocument/2006/relationships/hyperlink" Target="https://drive.google.com/file/d/15Bhg5dLFJp5Z0uC8xS0nfAn8yFUovO8W/view?usp=sharing" TargetMode="External"/><Relationship Id="rId235" Type="http://schemas.openxmlformats.org/officeDocument/2006/relationships/hyperlink" Target="https://drive.google.com/thumbnail?id=1DWzC1baRZL3kiFXtGDEmVyORn7SGi6en&amp;sz=s1000" TargetMode="External"/><Relationship Id="rId356" Type="http://schemas.openxmlformats.org/officeDocument/2006/relationships/hyperlink" Target="https://drive.google.com/file/d/19WMIEfAAIqnKiZGVYVFl3jHVt0dhYIuP/view?usp=sharing" TargetMode="External"/><Relationship Id="rId477" Type="http://schemas.openxmlformats.org/officeDocument/2006/relationships/hyperlink" Target="https://drive.google.com/file/d/18FyaeSB2TnRloRmkSZ06hArCxdEpY3Qj/view?usp=sharing" TargetMode="External"/><Relationship Id="rId113" Type="http://schemas.openxmlformats.org/officeDocument/2006/relationships/hyperlink" Target="https://drive.google.com/thumbnail?id=140CmlHvJbQkxLrJhWqRSXVQxHEdFj5bt&amp;sz=s1000" TargetMode="External"/><Relationship Id="rId234" Type="http://schemas.openxmlformats.org/officeDocument/2006/relationships/hyperlink" Target="https://drive.google.com/file/d/1DWzC1baRZL3kiFXtGDEmVyORn7SGi6en/view?usp=sharing" TargetMode="External"/><Relationship Id="rId355" Type="http://schemas.openxmlformats.org/officeDocument/2006/relationships/hyperlink" Target="https://drive.google.com/thumbnail?id=19YkpnsHvo5HgzRZ6FWnnsLFfGOYIMwE5&amp;sz=s1000" TargetMode="External"/><Relationship Id="rId476" Type="http://schemas.openxmlformats.org/officeDocument/2006/relationships/hyperlink" Target="https://drive.google.com/thumbnail?id=17zNRK_lAij2qxM26QbeqVqHPxRgMvR1J&amp;sz=s1000" TargetMode="External"/><Relationship Id="rId112" Type="http://schemas.openxmlformats.org/officeDocument/2006/relationships/hyperlink" Target="https://drive.google.com/file/d/140CmlHvJbQkxLrJhWqRSXVQxHEdFj5bt/view?usp=sharing" TargetMode="External"/><Relationship Id="rId233" Type="http://schemas.openxmlformats.org/officeDocument/2006/relationships/hyperlink" Target="https://drive.google.com/thumbnail?id=1DgcXu9UtPKueGyCIY_0P2-grxEZjCrJq&amp;sz=s1000" TargetMode="External"/><Relationship Id="rId354" Type="http://schemas.openxmlformats.org/officeDocument/2006/relationships/hyperlink" Target="https://drive.google.com/file/d/19YkpnsHvo5HgzRZ6FWnnsLFfGOYIMwE5/view?usp=sharing" TargetMode="External"/><Relationship Id="rId475" Type="http://schemas.openxmlformats.org/officeDocument/2006/relationships/hyperlink" Target="https://drive.google.com/file/d/17zNRK_lAij2qxM26QbeqVqHPxRgMvR1J/view?usp=sharing" TargetMode="External"/><Relationship Id="rId111" Type="http://schemas.openxmlformats.org/officeDocument/2006/relationships/hyperlink" Target="https://drive.google.com/thumbnail?id=15G1r4LIe8kfAg4FMszQI69Bqi2vgAf7u&amp;sz=s1000" TargetMode="External"/><Relationship Id="rId232" Type="http://schemas.openxmlformats.org/officeDocument/2006/relationships/hyperlink" Target="https://drive.google.com/file/d/1DgcXu9UtPKueGyCIY_0P2-grxEZjCrJq/view?usp=sharing" TargetMode="External"/><Relationship Id="rId353" Type="http://schemas.openxmlformats.org/officeDocument/2006/relationships/hyperlink" Target="https://drive.google.com/thumbnail?id=19hr4sAGOMk7YHM4zVmPk38SPhNFH3Xfp&amp;sz=s1000" TargetMode="External"/><Relationship Id="rId474" Type="http://schemas.openxmlformats.org/officeDocument/2006/relationships/hyperlink" Target="https://drive.google.com/thumbnail?id=186lj9r-L_byv4nDgO1_EICSNDzQ_4yC3&amp;sz=s1000" TargetMode="External"/><Relationship Id="rId305" Type="http://schemas.openxmlformats.org/officeDocument/2006/relationships/hyperlink" Target="https://drive.google.com/thumbnail?id=17a41QtsgaVryfudJiL_6fcS9Vaw93oXW&amp;sz=s1000" TargetMode="External"/><Relationship Id="rId426" Type="http://schemas.openxmlformats.org/officeDocument/2006/relationships/hyperlink" Target="https://drive.google.com/thumbnail?id=1CS5SodgEgBT4gA--pklqKdbVEQ2_YJLi&amp;sz=s1000" TargetMode="External"/><Relationship Id="rId547" Type="http://schemas.openxmlformats.org/officeDocument/2006/relationships/hyperlink" Target="https://drive.google.com/file/d/1Anj6kmZ1JQSrFNe6BfmXUSUrcmPuu5_C/view?usp=sharing" TargetMode="External"/><Relationship Id="rId304" Type="http://schemas.openxmlformats.org/officeDocument/2006/relationships/hyperlink" Target="https://drive.google.com/file/d/17a41QtsgaVryfudJiL_6fcS9Vaw93oXW/view?usp=sharing" TargetMode="External"/><Relationship Id="rId425" Type="http://schemas.openxmlformats.org/officeDocument/2006/relationships/hyperlink" Target="https://drive.google.com/file/d/1CS5SodgEgBT4gA--pklqKdbVEQ2_YJLi/view?usp=sharing" TargetMode="External"/><Relationship Id="rId546" Type="http://schemas.openxmlformats.org/officeDocument/2006/relationships/hyperlink" Target="https://drive.google.com/thumbnail?id=1C-YtPnLOptjqW6MRsyWEOKpC0Flti2Az&amp;sz=s1000" TargetMode="External"/><Relationship Id="rId303" Type="http://schemas.openxmlformats.org/officeDocument/2006/relationships/hyperlink" Target="https://drive.google.com/thumbnail?id=173e6RUqO87t1Y0QHK1JxLxBErpPI7WEh&amp;sz=s1000" TargetMode="External"/><Relationship Id="rId424" Type="http://schemas.openxmlformats.org/officeDocument/2006/relationships/hyperlink" Target="https://drive.google.com/thumbnail?id=1CAg9ErhqhlfBnjqWEepX5tnVMMXmYYzc&amp;sz=s1000" TargetMode="External"/><Relationship Id="rId545" Type="http://schemas.openxmlformats.org/officeDocument/2006/relationships/hyperlink" Target="https://drive.google.com/file/d/1C-YtPnLOptjqW6MRsyWEOKpC0Flti2Az/view?usp=sharing" TargetMode="External"/><Relationship Id="rId302" Type="http://schemas.openxmlformats.org/officeDocument/2006/relationships/hyperlink" Target="https://drive.google.com/file/d/173e6RUqO87t1Y0QHK1JxLxBErpPI7WEh/view?usp=sharing" TargetMode="External"/><Relationship Id="rId423" Type="http://schemas.openxmlformats.org/officeDocument/2006/relationships/hyperlink" Target="https://drive.google.com/file/d/1CAg9ErhqhlfBnjqWEepX5tnVMMXmYYzc/view?usp=sharing" TargetMode="External"/><Relationship Id="rId544" Type="http://schemas.openxmlformats.org/officeDocument/2006/relationships/hyperlink" Target="https://drive.google.com/thumbnail?id=1tueF0EgQ9ZmjxsAeUa_w_XEbdRvNtXic&amp;sz=s1000" TargetMode="External"/><Relationship Id="rId309" Type="http://schemas.openxmlformats.org/officeDocument/2006/relationships/hyperlink" Target="https://drive.google.com/thumbnail?id=1EGooZYeQUquJ5sG6nDJSh7eXtG0gHFen&amp;sz=s1000" TargetMode="External"/><Relationship Id="rId308" Type="http://schemas.openxmlformats.org/officeDocument/2006/relationships/hyperlink" Target="https://drive.google.com/file/d/1EGooZYeQUquJ5sG6nDJSh7eXtG0gHFen/view?usp=sharing" TargetMode="External"/><Relationship Id="rId429" Type="http://schemas.openxmlformats.org/officeDocument/2006/relationships/hyperlink" Target="https://drive.google.com/file/d/1CK1QxR00pwgJFD2irUz-ASxk-I2qbbJm/view?usp=sharing" TargetMode="External"/><Relationship Id="rId307" Type="http://schemas.openxmlformats.org/officeDocument/2006/relationships/hyperlink" Target="https://drive.google.com/thumbnail?id=17THXLs9YjaVXbRbS_uoMA283s3KCw4HF&amp;sz=s1000" TargetMode="External"/><Relationship Id="rId428" Type="http://schemas.openxmlformats.org/officeDocument/2006/relationships/hyperlink" Target="https://drive.google.com/thumbnail?id=1CN2RXhKsceO-FAATk3CDDv4SRGZI5OUV&amp;sz=s1000" TargetMode="External"/><Relationship Id="rId549" Type="http://schemas.openxmlformats.org/officeDocument/2006/relationships/hyperlink" Target="https://drive.google.com/file/d/1ekx_QWKUzFqgm67MtVb06SNWFnlc9ysM/view?usp=sharing" TargetMode="External"/><Relationship Id="rId306" Type="http://schemas.openxmlformats.org/officeDocument/2006/relationships/hyperlink" Target="https://drive.google.com/file/d/17THXLs9YjaVXbRbS_uoMA283s3KCw4HF/view?usp=sharing" TargetMode="External"/><Relationship Id="rId427" Type="http://schemas.openxmlformats.org/officeDocument/2006/relationships/hyperlink" Target="https://drive.google.com/file/d/1CN2RXhKsceO-FAATk3CDDv4SRGZI5OUV/view?usp=sharing" TargetMode="External"/><Relationship Id="rId548" Type="http://schemas.openxmlformats.org/officeDocument/2006/relationships/hyperlink" Target="https://drive.google.com/thumbnail?id=1Anj6kmZ1JQSrFNe6BfmXUSUrcmPuu5_C&amp;sz=s1000" TargetMode="External"/><Relationship Id="rId301" Type="http://schemas.openxmlformats.org/officeDocument/2006/relationships/hyperlink" Target="https://drive.google.com/thumbnail?id=176RswEuIMQ27o-Mw6GDhEpYwJTEMu8ed&amp;sz=s1000" TargetMode="External"/><Relationship Id="rId422" Type="http://schemas.openxmlformats.org/officeDocument/2006/relationships/hyperlink" Target="https://drive.google.com/thumbnail?id=1C74CYQbmMzSvMhpVKtuEe4498QHhTvvV&amp;sz=s1000" TargetMode="External"/><Relationship Id="rId543" Type="http://schemas.openxmlformats.org/officeDocument/2006/relationships/hyperlink" Target="https://drive.google.com/file/d/1tueF0EgQ9ZmjxsAeUa_w_XEbdRvNtXic/view?usp=sharing" TargetMode="External"/><Relationship Id="rId300" Type="http://schemas.openxmlformats.org/officeDocument/2006/relationships/hyperlink" Target="https://drive.google.com/file/d/176RswEuIMQ27o-Mw6GDhEpYwJTEMu8ed/view?usp=sharing" TargetMode="External"/><Relationship Id="rId421" Type="http://schemas.openxmlformats.org/officeDocument/2006/relationships/hyperlink" Target="https://drive.google.com/file/d/1C74CYQbmMzSvMhpVKtuEe4498QHhTvvV/view?usp=sharing" TargetMode="External"/><Relationship Id="rId542" Type="http://schemas.openxmlformats.org/officeDocument/2006/relationships/hyperlink" Target="https://drive.google.com/thumbnail?id=1EeekOBg6Ida4Ku1QVJhL0xLoMmT5tWOo&amp;sz=s1000" TargetMode="External"/><Relationship Id="rId420" Type="http://schemas.openxmlformats.org/officeDocument/2006/relationships/hyperlink" Target="https://drive.google.com/thumbnail?id=1C867dQG2MZFmjHOY2AYMHJqpSYuSjeQo&amp;sz=s1000" TargetMode="External"/><Relationship Id="rId541" Type="http://schemas.openxmlformats.org/officeDocument/2006/relationships/hyperlink" Target="https://drive.google.com/file/d/1EeekOBg6Ida4Ku1QVJhL0xLoMmT5tWOo/view?usp=sharing" TargetMode="External"/><Relationship Id="rId540" Type="http://schemas.openxmlformats.org/officeDocument/2006/relationships/hyperlink" Target="https://drive.google.com/thumbnail?id=1_2vpjX0N-wf5NcCC7V72qgSaxpM3PL8k&amp;sz=s1000" TargetMode="External"/><Relationship Id="rId415" Type="http://schemas.openxmlformats.org/officeDocument/2006/relationships/hyperlink" Target="https://drive.google.com/file/d/1BujunZl0uxJAxuIANaFGIqUlL0uiY-NG/view?usp=sharing" TargetMode="External"/><Relationship Id="rId536" Type="http://schemas.openxmlformats.org/officeDocument/2006/relationships/hyperlink" Target="https://drive.google.com/thumbnail?id=11HZwVXo2Jr_jp7BLzmWRG0eoT_CM8PKZ&amp;sz=s1000" TargetMode="External"/><Relationship Id="rId414" Type="http://schemas.openxmlformats.org/officeDocument/2006/relationships/hyperlink" Target="https://drive.google.com/thumbnail?id=1BwXOAVg2RJzMdv_NRGbl3j9TmMGL0Xjg&amp;sz=s1000" TargetMode="External"/><Relationship Id="rId535" Type="http://schemas.openxmlformats.org/officeDocument/2006/relationships/hyperlink" Target="https://drive.google.com/file/d/11HZwVXo2Jr_jp7BLzmWRG0eoT_CM8PKZ/view?usp=sharing" TargetMode="External"/><Relationship Id="rId413" Type="http://schemas.openxmlformats.org/officeDocument/2006/relationships/hyperlink" Target="https://drive.google.com/file/d/1BwXOAVg2RJzMdv_NRGbl3j9TmMGL0Xjg/view?usp=sharing" TargetMode="External"/><Relationship Id="rId534" Type="http://schemas.openxmlformats.org/officeDocument/2006/relationships/hyperlink" Target="https://drive.google.com/thumbnail?id=1nkDwGJNSDn_RCjYOivtuQYvHeEexuQj1&amp;sz=s1000" TargetMode="External"/><Relationship Id="rId412" Type="http://schemas.openxmlformats.org/officeDocument/2006/relationships/hyperlink" Target="https://drive.google.com/thumbnail?id=1Bn8e5rKVJROTqu_0yoe5fFFmzzDEtxkp&amp;sz=s1000" TargetMode="External"/><Relationship Id="rId533" Type="http://schemas.openxmlformats.org/officeDocument/2006/relationships/hyperlink" Target="https://drive.google.com/file/d/1nkDwGJNSDn_RCjYOivtuQYvHeEexuQj1/view?usp=sharing" TargetMode="External"/><Relationship Id="rId419" Type="http://schemas.openxmlformats.org/officeDocument/2006/relationships/hyperlink" Target="https://drive.google.com/file/d/1C867dQG2MZFmjHOY2AYMHJqpSYuSjeQo/view?usp=sharing" TargetMode="External"/><Relationship Id="rId418" Type="http://schemas.openxmlformats.org/officeDocument/2006/relationships/hyperlink" Target="https://drive.google.com/thumbnail?id=1Bs9m8_S13pyTrSbWwMDyeltH2aJzRbRX&amp;sz=s1000" TargetMode="External"/><Relationship Id="rId539" Type="http://schemas.openxmlformats.org/officeDocument/2006/relationships/hyperlink" Target="https://drive.google.com/file/d/1_2vpjX0N-wf5NcCC7V72qgSaxpM3PL8k/view?usp=sharing" TargetMode="External"/><Relationship Id="rId417" Type="http://schemas.openxmlformats.org/officeDocument/2006/relationships/hyperlink" Target="https://drive.google.com/file/d/1Bs9m8_S13pyTrSbWwMDyeltH2aJzRbRX/view?usp=sharing" TargetMode="External"/><Relationship Id="rId538" Type="http://schemas.openxmlformats.org/officeDocument/2006/relationships/hyperlink" Target="https://drive.google.com/thumbnail?id=1yScQ6Vi5Nv_qH67pZdT2pPuPvRSicRZS&amp;sz=s1000" TargetMode="External"/><Relationship Id="rId416" Type="http://schemas.openxmlformats.org/officeDocument/2006/relationships/hyperlink" Target="https://drive.google.com/thumbnail?id=1BujunZl0uxJAxuIANaFGIqUlL0uiY-NG&amp;sz=s1000" TargetMode="External"/><Relationship Id="rId537" Type="http://schemas.openxmlformats.org/officeDocument/2006/relationships/hyperlink" Target="https://drive.google.com/file/d/1yScQ6Vi5Nv_qH67pZdT2pPuPvRSicRZS/view?usp=sharing" TargetMode="External"/><Relationship Id="rId411" Type="http://schemas.openxmlformats.org/officeDocument/2006/relationships/hyperlink" Target="https://drive.google.com/file/d/1Bn8e5rKVJROTqu_0yoe5fFFmzzDEtxkp/view?usp=sharing" TargetMode="External"/><Relationship Id="rId532" Type="http://schemas.openxmlformats.org/officeDocument/2006/relationships/hyperlink" Target="https://drive.google.com/thumbnail?id=1aSzEvj5MbzqcMCOn1c8E246O60Rlyd7c&amp;sz=s1000" TargetMode="External"/><Relationship Id="rId410" Type="http://schemas.openxmlformats.org/officeDocument/2006/relationships/hyperlink" Target="https://drive.google.com/thumbnail?id=1Bk6P9r8XE5u1ZjP0e1NRX840mqoTQdmE&amp;sz=s1000" TargetMode="External"/><Relationship Id="rId531" Type="http://schemas.openxmlformats.org/officeDocument/2006/relationships/hyperlink" Target="https://drive.google.com/file/d/1aSzEvj5MbzqcMCOn1c8E246O60Rlyd7c/view?usp=sharing" TargetMode="External"/><Relationship Id="rId530" Type="http://schemas.openxmlformats.org/officeDocument/2006/relationships/hyperlink" Target="https://drive.google.com/thumbnail?id=1OKzaiPtNxYZyJ77S8DXvPnRvU36f6w_Z&amp;sz=s1000" TargetMode="External"/><Relationship Id="rId206" Type="http://schemas.openxmlformats.org/officeDocument/2006/relationships/hyperlink" Target="https://drive.google.com/file/d/16-yMzYxzVupdOKFCcCfopQkIMlbY0IxP/view?usp=sharing" TargetMode="External"/><Relationship Id="rId327" Type="http://schemas.openxmlformats.org/officeDocument/2006/relationships/hyperlink" Target="https://drive.google.com/thumbnail?id=190mGJwe1-2Pw4SDksAvHv-a24YewqVSV&amp;sz=s1000" TargetMode="External"/><Relationship Id="rId448" Type="http://schemas.openxmlformats.org/officeDocument/2006/relationships/hyperlink" Target="https://drive.google.com/thumbnail?id=1CXvSFp6oYJ-k_V0QCjkU__5-_orNNOkC&amp;sz=s1000" TargetMode="External"/><Relationship Id="rId569" Type="http://schemas.openxmlformats.org/officeDocument/2006/relationships/hyperlink" Target="https://drive.google.com/file/d/1rkb51qCIJeac7R9tWXQzCBjnrjSUA6ui/view?usp=sharing" TargetMode="External"/><Relationship Id="rId205" Type="http://schemas.openxmlformats.org/officeDocument/2006/relationships/hyperlink" Target="https://drive.google.com/thumbnail?id=167ouKJ03I0G08ZeAaoBKfevQNIPkqVWL&amp;sz=s1000" TargetMode="External"/><Relationship Id="rId326" Type="http://schemas.openxmlformats.org/officeDocument/2006/relationships/hyperlink" Target="https://drive.google.com/file/d/190mGJwe1-2Pw4SDksAvHv-a24YewqVSV/view?usp=sharing" TargetMode="External"/><Relationship Id="rId447" Type="http://schemas.openxmlformats.org/officeDocument/2006/relationships/hyperlink" Target="https://drive.google.com/file/d/1CXvSFp6oYJ-k_V0QCjkU__5-_orNNOkC/view?usp=sharing" TargetMode="External"/><Relationship Id="rId568" Type="http://schemas.openxmlformats.org/officeDocument/2006/relationships/hyperlink" Target="https://drive.google.com/thumbnail?id=1HUJX9ePCvCuJEqJc6MNMmXL1IvrcqC-t&amp;sz=s1000" TargetMode="External"/><Relationship Id="rId204" Type="http://schemas.openxmlformats.org/officeDocument/2006/relationships/hyperlink" Target="https://drive.google.com/file/d/167ouKJ03I0G08ZeAaoBKfevQNIPkqVWL/view?usp=sharing" TargetMode="External"/><Relationship Id="rId325" Type="http://schemas.openxmlformats.org/officeDocument/2006/relationships/hyperlink" Target="https://drive.google.com/thumbnail?id=18p_9c2gI2hBMv0Qse3GgcKGJAhlWM33_&amp;sz=s1000" TargetMode="External"/><Relationship Id="rId446" Type="http://schemas.openxmlformats.org/officeDocument/2006/relationships/hyperlink" Target="https://drive.google.com/thumbnail?id=1C_cRqY04D9A3jPt_Hazxs0qASR3HemUm&amp;sz=s1000" TargetMode="External"/><Relationship Id="rId567" Type="http://schemas.openxmlformats.org/officeDocument/2006/relationships/hyperlink" Target="https://drive.google.com/file/d/1HUJX9ePCvCuJEqJc6MNMmXL1IvrcqC-t/view?usp=sharing" TargetMode="External"/><Relationship Id="rId203" Type="http://schemas.openxmlformats.org/officeDocument/2006/relationships/hyperlink" Target="https://drive.google.com/thumbnail?id=16EUytuXhWltg8F3KQCCbHpmFBYGdki2L&amp;sz=s1000" TargetMode="External"/><Relationship Id="rId324" Type="http://schemas.openxmlformats.org/officeDocument/2006/relationships/hyperlink" Target="https://drive.google.com/file/d/18p_9c2gI2hBMv0Qse3GgcKGJAhlWM33_/view?usp=sharing" TargetMode="External"/><Relationship Id="rId445" Type="http://schemas.openxmlformats.org/officeDocument/2006/relationships/hyperlink" Target="https://drive.google.com/file/d/1C_cRqY04D9A3jPt_Hazxs0qASR3HemUm/view?usp=sharing" TargetMode="External"/><Relationship Id="rId566" Type="http://schemas.openxmlformats.org/officeDocument/2006/relationships/hyperlink" Target="https://drive.google.com/thumbnail?id=1vIXLOOyhLh-EcQ-kT59XWGSoxAWSFD5D&amp;sz=s1000" TargetMode="External"/><Relationship Id="rId209" Type="http://schemas.openxmlformats.org/officeDocument/2006/relationships/hyperlink" Target="https://drive.google.com/thumbnail?id=15rBWMEkdc7rkIQpSq2lDZME6x4sXKAPY&amp;sz=s1000" TargetMode="External"/><Relationship Id="rId208" Type="http://schemas.openxmlformats.org/officeDocument/2006/relationships/hyperlink" Target="https://drive.google.com/file/d/15rBWMEkdc7rkIQpSq2lDZME6x4sXKAPY/view?usp=sharing" TargetMode="External"/><Relationship Id="rId329" Type="http://schemas.openxmlformats.org/officeDocument/2006/relationships/hyperlink" Target="https://drive.google.com/thumbnail?id=198ZomCecU-UVQtHG81vOKHfjh3LprSNa&amp;sz=s1000" TargetMode="External"/><Relationship Id="rId207" Type="http://schemas.openxmlformats.org/officeDocument/2006/relationships/hyperlink" Target="https://drive.google.com/thumbnail?id=16-yMzYxzVupdOKFCcCfopQkIMlbY0IxP&amp;sz=s1000" TargetMode="External"/><Relationship Id="rId328" Type="http://schemas.openxmlformats.org/officeDocument/2006/relationships/hyperlink" Target="https://drive.google.com/file/d/198ZomCecU-UVQtHG81vOKHfjh3LprSNa/view?usp=sharing" TargetMode="External"/><Relationship Id="rId449" Type="http://schemas.openxmlformats.org/officeDocument/2006/relationships/hyperlink" Target="https://drive.google.com/file/d/1Cu_SnS9HhGJaZXm5cJchN4JyksQvJLEK/view?usp=sharing" TargetMode="External"/><Relationship Id="rId440" Type="http://schemas.openxmlformats.org/officeDocument/2006/relationships/hyperlink" Target="https://drive.google.com/thumbnail?id=1CgfeiMm5AbCu2WhMk4xCi8OHpJNHG10d&amp;sz=s1000" TargetMode="External"/><Relationship Id="rId561" Type="http://schemas.openxmlformats.org/officeDocument/2006/relationships/hyperlink" Target="https://drive.google.com/file/d/1e_HdMYrjC5l94McudV8a-C8zqHF4DeDS/view?usp=sharing" TargetMode="External"/><Relationship Id="rId560" Type="http://schemas.openxmlformats.org/officeDocument/2006/relationships/hyperlink" Target="https://drive.google.com/thumbnail?id=1Rxbld8RUXrHAECPZW36vntmD3y5xFE6Y&amp;sz=s1000" TargetMode="External"/><Relationship Id="rId202" Type="http://schemas.openxmlformats.org/officeDocument/2006/relationships/hyperlink" Target="https://drive.google.com/file/d/16EUytuXhWltg8F3KQCCbHpmFBYGdki2L/view?usp=sharing" TargetMode="External"/><Relationship Id="rId323" Type="http://schemas.openxmlformats.org/officeDocument/2006/relationships/hyperlink" Target="https://drive.google.com/thumbnail?id=19-mmnXSO_vcpcmmkq2UrJrAqND_WUleG&amp;sz=s1000" TargetMode="External"/><Relationship Id="rId444" Type="http://schemas.openxmlformats.org/officeDocument/2006/relationships/hyperlink" Target="https://drive.google.com/thumbnail?id=1Cay_7IAW3QWTWbb5si8vphoZ0YJYRHUS&amp;sz=s1000" TargetMode="External"/><Relationship Id="rId565" Type="http://schemas.openxmlformats.org/officeDocument/2006/relationships/hyperlink" Target="https://drive.google.com/file/d/1vIXLOOyhLh-EcQ-kT59XWGSoxAWSFD5D/view?usp=sharing" TargetMode="External"/><Relationship Id="rId201" Type="http://schemas.openxmlformats.org/officeDocument/2006/relationships/hyperlink" Target="https://drive.google.com/thumbnail?id=168rYn7djWyKyi7N3ZVVaPmEiRdQOG-IN&amp;sz=s1000" TargetMode="External"/><Relationship Id="rId322" Type="http://schemas.openxmlformats.org/officeDocument/2006/relationships/hyperlink" Target="https://drive.google.com/file/d/19-mmnXSO_vcpcmmkq2UrJrAqND_WUleG/view?usp=sharing" TargetMode="External"/><Relationship Id="rId443" Type="http://schemas.openxmlformats.org/officeDocument/2006/relationships/hyperlink" Target="https://drive.google.com/file/d/1Cay_7IAW3QWTWbb5si8vphoZ0YJYRHUS/view?usp=sharing" TargetMode="External"/><Relationship Id="rId564" Type="http://schemas.openxmlformats.org/officeDocument/2006/relationships/hyperlink" Target="https://drive.google.com/thumbnail?id=1AYha-E23t1syX_dBZO4prqORzHBEVP0L&amp;sz=s1000" TargetMode="External"/><Relationship Id="rId200" Type="http://schemas.openxmlformats.org/officeDocument/2006/relationships/hyperlink" Target="https://drive.google.com/file/d/168rYn7djWyKyi7N3ZVVaPmEiRdQOG-IN/view?usp=sharing" TargetMode="External"/><Relationship Id="rId321" Type="http://schemas.openxmlformats.org/officeDocument/2006/relationships/hyperlink" Target="https://drive.google.com/thumbnail?id=17fV-imoPo4vIBsE_ct3zIWoj-Dl_Dd4A&amp;sz=s1000" TargetMode="External"/><Relationship Id="rId442" Type="http://schemas.openxmlformats.org/officeDocument/2006/relationships/hyperlink" Target="https://drive.google.com/thumbnail?id=1CdaOGp550_mb_M3ED0_m5RNljdrqB52b&amp;sz=s1000" TargetMode="External"/><Relationship Id="rId563" Type="http://schemas.openxmlformats.org/officeDocument/2006/relationships/hyperlink" Target="https://drive.google.com/file/d/1AYha-E23t1syX_dBZO4prqORzHBEVP0L/view?usp=sharing" TargetMode="External"/><Relationship Id="rId320" Type="http://schemas.openxmlformats.org/officeDocument/2006/relationships/hyperlink" Target="https://drive.google.com/file/d/17fV-imoPo4vIBsE_ct3zIWoj-Dl_Dd4A/view?usp=sharing" TargetMode="External"/><Relationship Id="rId441" Type="http://schemas.openxmlformats.org/officeDocument/2006/relationships/hyperlink" Target="https://drive.google.com/file/d/1CdaOGp550_mb_M3ED0_m5RNljdrqB52b/view?usp=sharing" TargetMode="External"/><Relationship Id="rId562" Type="http://schemas.openxmlformats.org/officeDocument/2006/relationships/hyperlink" Target="https://drive.google.com/thumbnail?id=1e_HdMYrjC5l94McudV8a-C8zqHF4DeDS&amp;sz=s1000" TargetMode="External"/><Relationship Id="rId316" Type="http://schemas.openxmlformats.org/officeDocument/2006/relationships/hyperlink" Target="https://drive.google.com/file/d/17g8gVp4AZ-h6lWblqPsgiLru2UWUmyq9/view?usp=sharing" TargetMode="External"/><Relationship Id="rId437" Type="http://schemas.openxmlformats.org/officeDocument/2006/relationships/hyperlink" Target="https://drive.google.com/file/d/1CUBZKq_g25wbm9zG7-clI61nAYljd7nV/view?usp=sharing" TargetMode="External"/><Relationship Id="rId558" Type="http://schemas.openxmlformats.org/officeDocument/2006/relationships/hyperlink" Target="https://drive.google.com/thumbnail?id=1KNt-eGL1UtYbaj6oKb1AZQqLP2Ms7q50&amp;sz=s1000" TargetMode="External"/><Relationship Id="rId315" Type="http://schemas.openxmlformats.org/officeDocument/2006/relationships/hyperlink" Target="https://drive.google.com/thumbnail?id=17hW7eZxQmsppTPuQQjXOL9KsrzxMlUtd&amp;sz=s1000" TargetMode="External"/><Relationship Id="rId436" Type="http://schemas.openxmlformats.org/officeDocument/2006/relationships/hyperlink" Target="https://drive.google.com/thumbnail?id=1CCw_U880bqoGg2xhdTqftKoMlYnqgckl&amp;sz=s1000" TargetMode="External"/><Relationship Id="rId557" Type="http://schemas.openxmlformats.org/officeDocument/2006/relationships/hyperlink" Target="https://drive.google.com/file/d/1KNt-eGL1UtYbaj6oKb1AZQqLP2Ms7q50/view?usp=sharing" TargetMode="External"/><Relationship Id="rId314" Type="http://schemas.openxmlformats.org/officeDocument/2006/relationships/hyperlink" Target="https://drive.google.com/file/d/17hW7eZxQmsppTPuQQjXOL9KsrzxMlUtd/view?usp=sharing" TargetMode="External"/><Relationship Id="rId435" Type="http://schemas.openxmlformats.org/officeDocument/2006/relationships/hyperlink" Target="https://drive.google.com/file/d/1CCw_U880bqoGg2xhdTqftKoMlYnqgckl/view?usp=sharing" TargetMode="External"/><Relationship Id="rId556" Type="http://schemas.openxmlformats.org/officeDocument/2006/relationships/hyperlink" Target="https://drive.google.com/thumbnail?id=1hokb5l5GgnedHEx00km-Efi4_GzRvO5S&amp;sz=s1000" TargetMode="External"/><Relationship Id="rId313" Type="http://schemas.openxmlformats.org/officeDocument/2006/relationships/hyperlink" Target="https://drive.google.com/thumbnail?id=1DKTJxzqpoghUcdZ2NsfS61HXQoOMoc9C&amp;sz=s1000" TargetMode="External"/><Relationship Id="rId434" Type="http://schemas.openxmlformats.org/officeDocument/2006/relationships/hyperlink" Target="https://drive.google.com/thumbnail?id=1CFjl9Whsfuv477SCaHS-HN_J8SqjFArR&amp;sz=s1000" TargetMode="External"/><Relationship Id="rId555" Type="http://schemas.openxmlformats.org/officeDocument/2006/relationships/hyperlink" Target="https://drive.google.com/file/d/1hokb5l5GgnedHEx00km-Efi4_GzRvO5S/view?usp=sharing" TargetMode="External"/><Relationship Id="rId319" Type="http://schemas.openxmlformats.org/officeDocument/2006/relationships/hyperlink" Target="https://drive.google.com/thumbnail?id=17g3RvXwjw_yr_ImrPkBsOQxurU5igySW&amp;sz=s1000" TargetMode="External"/><Relationship Id="rId318" Type="http://schemas.openxmlformats.org/officeDocument/2006/relationships/hyperlink" Target="https://drive.google.com/file/d/17g3RvXwjw_yr_ImrPkBsOQxurU5igySW/view?usp=sharing" TargetMode="External"/><Relationship Id="rId439" Type="http://schemas.openxmlformats.org/officeDocument/2006/relationships/hyperlink" Target="https://drive.google.com/file/d/1CgfeiMm5AbCu2WhMk4xCi8OHpJNHG10d/view?usp=sharing" TargetMode="External"/><Relationship Id="rId317" Type="http://schemas.openxmlformats.org/officeDocument/2006/relationships/hyperlink" Target="https://drive.google.com/thumbnail?id=17g8gVp4AZ-h6lWblqPsgiLru2UWUmyq9&amp;sz=s1000" TargetMode="External"/><Relationship Id="rId438" Type="http://schemas.openxmlformats.org/officeDocument/2006/relationships/hyperlink" Target="https://drive.google.com/thumbnail?id=1CUBZKq_g25wbm9zG7-clI61nAYljd7nV&amp;sz=s1000" TargetMode="External"/><Relationship Id="rId559" Type="http://schemas.openxmlformats.org/officeDocument/2006/relationships/hyperlink" Target="https://drive.google.com/file/d/1Rxbld8RUXrHAECPZW36vntmD3y5xFE6Y/view?usp=sharing" TargetMode="External"/><Relationship Id="rId550" Type="http://schemas.openxmlformats.org/officeDocument/2006/relationships/hyperlink" Target="https://drive.google.com/thumbnail?id=1ekx_QWKUzFqgm67MtVb06SNWFnlc9ysM&amp;sz=s1000" TargetMode="External"/><Relationship Id="rId312" Type="http://schemas.openxmlformats.org/officeDocument/2006/relationships/hyperlink" Target="https://drive.google.com/file/d/1DKTJxzqpoghUcdZ2NsfS61HXQoOMoc9C/view?usp=sharing" TargetMode="External"/><Relationship Id="rId433" Type="http://schemas.openxmlformats.org/officeDocument/2006/relationships/hyperlink" Target="https://drive.google.com/file/d/1CFjl9Whsfuv477SCaHS-HN_J8SqjFArR/view?usp=sharing" TargetMode="External"/><Relationship Id="rId554" Type="http://schemas.openxmlformats.org/officeDocument/2006/relationships/hyperlink" Target="https://drive.google.com/thumbnail?id=1f_mFly-jwV4HDOeXvM0w2i6KKvlIt8JT&amp;sz=s1000" TargetMode="External"/><Relationship Id="rId311" Type="http://schemas.openxmlformats.org/officeDocument/2006/relationships/hyperlink" Target="https://drive.google.com/thumbnail?id=17Ib-CJxFscuo_FEnftNYB8kWaR-GYrcT&amp;sz=s1000" TargetMode="External"/><Relationship Id="rId432" Type="http://schemas.openxmlformats.org/officeDocument/2006/relationships/hyperlink" Target="https://drive.google.com/thumbnail?id=1CHku3l1hrmrLoGjFUIs6dz-pAmHRqizN&amp;sz=s1000" TargetMode="External"/><Relationship Id="rId553" Type="http://schemas.openxmlformats.org/officeDocument/2006/relationships/hyperlink" Target="https://drive.google.com/file/d/1f_mFly-jwV4HDOeXvM0w2i6KKvlIt8JT/view?usp=sharing" TargetMode="External"/><Relationship Id="rId310" Type="http://schemas.openxmlformats.org/officeDocument/2006/relationships/hyperlink" Target="https://drive.google.com/file/d/17Ib-CJxFscuo_FEnftNYB8kWaR-GYrcT/view?usp=sharing" TargetMode="External"/><Relationship Id="rId431" Type="http://schemas.openxmlformats.org/officeDocument/2006/relationships/hyperlink" Target="https://drive.google.com/file/d/1CHku3l1hrmrLoGjFUIs6dz-pAmHRqizN/view?usp=sharing" TargetMode="External"/><Relationship Id="rId552" Type="http://schemas.openxmlformats.org/officeDocument/2006/relationships/hyperlink" Target="https://drive.google.com/thumbnail?id=134und2nSdnhIT-c-VP2_hpBjK0J15SWZ&amp;sz=s1000" TargetMode="External"/><Relationship Id="rId430" Type="http://schemas.openxmlformats.org/officeDocument/2006/relationships/hyperlink" Target="https://drive.google.com/thumbnail?id=1CK1QxR00pwgJFD2irUz-ASxk-I2qbbJm&amp;sz=s1000" TargetMode="External"/><Relationship Id="rId551" Type="http://schemas.openxmlformats.org/officeDocument/2006/relationships/hyperlink" Target="https://drive.google.com/file/d/134und2nSdnhIT-c-VP2_hpBjK0J15SWZ/view?usp=sharing"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3.63"/>
    <col customWidth="1" min="2" max="2" width="24.63"/>
    <col customWidth="1" min="3" max="3" width="6.5"/>
    <col customWidth="1" min="4" max="4" width="6.38"/>
    <col customWidth="1" min="5" max="5" width="16.13"/>
    <col customWidth="1" min="9" max="9" width="72.0"/>
    <col customWidth="1" min="10" max="10" width="60.75"/>
    <col customWidth="1" min="11" max="12" width="35.88"/>
    <col customWidth="1" min="14" max="14" width="17.0"/>
  </cols>
  <sheetData>
    <row r="1">
      <c r="A1" s="2" t="s">
        <v>1</v>
      </c>
      <c r="B1" s="2" t="s">
        <v>4</v>
      </c>
      <c r="C1" s="2" t="s">
        <v>25</v>
      </c>
      <c r="D1" s="2" t="s">
        <v>27</v>
      </c>
      <c r="E1" s="2" t="s">
        <v>51</v>
      </c>
      <c r="F1" s="2" t="s">
        <v>56</v>
      </c>
      <c r="G1" s="2" t="s">
        <v>59</v>
      </c>
      <c r="H1" s="2" t="s">
        <v>61</v>
      </c>
      <c r="I1" s="2" t="s">
        <v>65</v>
      </c>
      <c r="J1" s="2" t="s">
        <v>69</v>
      </c>
      <c r="K1" s="2" t="s">
        <v>72</v>
      </c>
      <c r="L1" s="2" t="s">
        <v>76</v>
      </c>
      <c r="M1" s="2" t="s">
        <v>80</v>
      </c>
      <c r="N1" s="2" t="s">
        <v>85</v>
      </c>
      <c r="O1" s="4" t="s">
        <v>90</v>
      </c>
    </row>
    <row r="2">
      <c r="A2" s="2">
        <v>1.0</v>
      </c>
      <c r="B2" s="2" t="s">
        <v>108</v>
      </c>
      <c r="C2" s="2" t="s">
        <v>19</v>
      </c>
      <c r="D2" s="2" t="s">
        <v>53</v>
      </c>
      <c r="E2" s="2" t="s">
        <v>49</v>
      </c>
      <c r="F2" s="2">
        <v>2.0</v>
      </c>
      <c r="G2" s="2">
        <v>1.0</v>
      </c>
      <c r="H2" s="2">
        <v>5.0</v>
      </c>
      <c r="I2" s="5" t="s">
        <v>137</v>
      </c>
      <c r="J2" s="5" t="str">
        <f>IFERROR(__xludf.DUMMYFUNCTION("ARRAYFORMULA(IF(LEN(I2:I998), ""https://drive.google.com/thumbnail?id="" &amp; REGEXEXTRACT(I2:I998, ""(?:d/|id=)([a-zA-Z0-9_-]{25,})"") &amp; ""&amp;sz=s1000"", """"))"),"https://drive.google.com/thumbnail?id=11TFpQ2Fkbz7IsPaXBli1-tXIpUwc4hqk&amp;sz=s1000")</f>
        <v>https://drive.google.com/thumbnail?id=11TFpQ2Fkbz7IsPaXBli1-tXIpUwc4hqk&amp;sz=s1000</v>
      </c>
      <c r="K2" s="6" t="s">
        <v>138</v>
      </c>
      <c r="L2" s="6"/>
      <c r="M2" s="2" t="s">
        <v>139</v>
      </c>
      <c r="O2" s="7" t="s">
        <v>141</v>
      </c>
    </row>
    <row r="3">
      <c r="A3" s="2">
        <v>2.0</v>
      </c>
      <c r="B3" s="2" t="s">
        <v>144</v>
      </c>
      <c r="C3" s="2" t="s">
        <v>21</v>
      </c>
      <c r="D3" s="2" t="s">
        <v>57</v>
      </c>
      <c r="E3" s="2" t="s">
        <v>54</v>
      </c>
      <c r="F3" s="2">
        <v>3.0</v>
      </c>
      <c r="G3" s="2">
        <v>1.0</v>
      </c>
      <c r="H3" s="2">
        <v>6.0</v>
      </c>
      <c r="I3" s="5" t="s">
        <v>155</v>
      </c>
      <c r="J3" s="5" t="str">
        <f>IFERROR(__xludf.DUMMYFUNCTION("""COMPUTED_VALUE"""),"https://drive.google.com/thumbnail?id=10tYQg2BbDK5QcWYCCtfqGGCs0-iOaoTR&amp;sz=s1000")</f>
        <v>https://drive.google.com/thumbnail?id=10tYQg2BbDK5QcWYCCtfqGGCs0-iOaoTR&amp;sz=s1000</v>
      </c>
      <c r="K3" s="6" t="s">
        <v>180</v>
      </c>
      <c r="L3" s="6"/>
      <c r="M3" s="2" t="s">
        <v>139</v>
      </c>
      <c r="O3" s="7" t="s">
        <v>181</v>
      </c>
    </row>
    <row r="4">
      <c r="A4" s="2">
        <v>3.0</v>
      </c>
      <c r="B4" s="2" t="s">
        <v>182</v>
      </c>
      <c r="C4" s="2" t="s">
        <v>19</v>
      </c>
      <c r="D4" s="2" t="s">
        <v>66</v>
      </c>
      <c r="E4" s="2" t="s">
        <v>58</v>
      </c>
      <c r="F4" s="2">
        <v>5.0</v>
      </c>
      <c r="G4" s="2">
        <v>1.0</v>
      </c>
      <c r="H4" s="2">
        <v>4.0</v>
      </c>
      <c r="I4" s="5" t="s">
        <v>183</v>
      </c>
      <c r="J4" s="5" t="str">
        <f>IFERROR(__xludf.DUMMYFUNCTION("""COMPUTED_VALUE"""),"https://drive.google.com/thumbnail?id=1-am2fDKsC8aGJwheVb9RSaKGQxrPLvqT&amp;sz=s1000")</f>
        <v>https://drive.google.com/thumbnail?id=1-am2fDKsC8aGJwheVb9RSaKGQxrPLvqT&amp;sz=s1000</v>
      </c>
      <c r="K4" s="6" t="s">
        <v>184</v>
      </c>
      <c r="L4" s="6"/>
      <c r="M4" s="2" t="s">
        <v>139</v>
      </c>
      <c r="O4" s="7" t="s">
        <v>185</v>
      </c>
    </row>
    <row r="5">
      <c r="A5" s="2">
        <v>4.0</v>
      </c>
      <c r="B5" s="2" t="s">
        <v>186</v>
      </c>
      <c r="C5" s="2" t="s">
        <v>12</v>
      </c>
      <c r="D5" s="2" t="s">
        <v>43</v>
      </c>
      <c r="E5" s="2" t="s">
        <v>60</v>
      </c>
      <c r="F5" s="2">
        <v>3.0</v>
      </c>
      <c r="G5" s="2">
        <v>1.0</v>
      </c>
      <c r="H5" s="2">
        <v>4.0</v>
      </c>
      <c r="I5" s="5" t="s">
        <v>187</v>
      </c>
      <c r="J5" s="5" t="str">
        <f>IFERROR(__xludf.DUMMYFUNCTION("""COMPUTED_VALUE"""),"https://drive.google.com/thumbnail?id=10tRPHLWU3yg3CEF2QVICZU4wmuZnUZig&amp;sz=s1000")</f>
        <v>https://drive.google.com/thumbnail?id=10tRPHLWU3yg3CEF2QVICZU4wmuZnUZig&amp;sz=s1000</v>
      </c>
      <c r="K5" s="6" t="s">
        <v>208</v>
      </c>
      <c r="L5" s="6"/>
      <c r="M5" s="2" t="s">
        <v>139</v>
      </c>
      <c r="O5" s="7" t="s">
        <v>212</v>
      </c>
    </row>
    <row r="6">
      <c r="A6" s="2">
        <v>5.0</v>
      </c>
      <c r="B6" s="2" t="s">
        <v>214</v>
      </c>
      <c r="C6" s="2" t="s">
        <v>12</v>
      </c>
      <c r="D6" s="2" t="s">
        <v>70</v>
      </c>
      <c r="E6" s="2" t="s">
        <v>62</v>
      </c>
      <c r="F6" s="2">
        <v>6.0</v>
      </c>
      <c r="G6" s="2">
        <v>2.0</v>
      </c>
      <c r="H6" s="2">
        <v>4.0</v>
      </c>
      <c r="I6" s="5" t="s">
        <v>222</v>
      </c>
      <c r="J6" s="5" t="str">
        <f>IFERROR(__xludf.DUMMYFUNCTION("""COMPUTED_VALUE"""),"https://drive.google.com/thumbnail?id=1-BD-IZSd_FNWT2rhbxk-vmbLzuudh7GC&amp;sz=s1000")</f>
        <v>https://drive.google.com/thumbnail?id=1-BD-IZSd_FNWT2rhbxk-vmbLzuudh7GC&amp;sz=s1000</v>
      </c>
      <c r="K6" s="6" t="s">
        <v>230</v>
      </c>
      <c r="L6" s="6"/>
      <c r="M6" s="2" t="s">
        <v>139</v>
      </c>
      <c r="O6" s="7" t="s">
        <v>231</v>
      </c>
    </row>
    <row r="7">
      <c r="A7" s="2">
        <v>6.0</v>
      </c>
      <c r="B7" s="2" t="s">
        <v>232</v>
      </c>
      <c r="C7" s="2" t="s">
        <v>12</v>
      </c>
      <c r="D7" s="2" t="s">
        <v>70</v>
      </c>
      <c r="E7" s="2" t="s">
        <v>64</v>
      </c>
      <c r="F7" s="2">
        <v>6.0</v>
      </c>
      <c r="G7" s="2">
        <v>1.0</v>
      </c>
      <c r="H7" s="2">
        <v>4.0</v>
      </c>
      <c r="I7" s="5" t="s">
        <v>233</v>
      </c>
      <c r="J7" s="5" t="str">
        <f>IFERROR(__xludf.DUMMYFUNCTION("""COMPUTED_VALUE"""),"https://drive.google.com/thumbnail?id=1-hzuEN09Aq5LuFLk9XiboMJDJZN-ryl-&amp;sz=s1000")</f>
        <v>https://drive.google.com/thumbnail?id=1-hzuEN09Aq5LuFLk9XiboMJDJZN-ryl-&amp;sz=s1000</v>
      </c>
      <c r="K7" s="6" t="s">
        <v>234</v>
      </c>
      <c r="L7" s="6"/>
      <c r="M7" s="2" t="s">
        <v>139</v>
      </c>
      <c r="O7" s="7" t="s">
        <v>235</v>
      </c>
    </row>
    <row r="8">
      <c r="A8" s="2">
        <v>7.0</v>
      </c>
      <c r="B8" s="2" t="s">
        <v>236</v>
      </c>
      <c r="C8" s="2" t="s">
        <v>24</v>
      </c>
      <c r="D8" s="2" t="s">
        <v>70</v>
      </c>
      <c r="E8" s="2" t="s">
        <v>24</v>
      </c>
      <c r="F8" s="2">
        <v>2.0</v>
      </c>
      <c r="G8" s="2">
        <v>1.0</v>
      </c>
      <c r="H8" s="2">
        <v>1.0</v>
      </c>
      <c r="I8" s="5" t="s">
        <v>237</v>
      </c>
      <c r="J8" s="5" t="str">
        <f>IFERROR(__xludf.DUMMYFUNCTION("""COMPUTED_VALUE"""),"https://drive.google.com/thumbnail?id=12QePk5Lemt9hEXk67oHkPNOwjXRMYif2&amp;sz=s1000")</f>
        <v>https://drive.google.com/thumbnail?id=12QePk5Lemt9hEXk67oHkPNOwjXRMYif2&amp;sz=s1000</v>
      </c>
      <c r="K8" s="6" t="s">
        <v>238</v>
      </c>
      <c r="L8" s="6"/>
      <c r="M8" s="2" t="s">
        <v>139</v>
      </c>
      <c r="O8" s="7" t="s">
        <v>239</v>
      </c>
    </row>
    <row r="9">
      <c r="A9" s="2">
        <v>8.0</v>
      </c>
      <c r="B9" s="2" t="s">
        <v>240</v>
      </c>
      <c r="C9" s="2" t="s">
        <v>12</v>
      </c>
      <c r="D9" s="2" t="s">
        <v>70</v>
      </c>
      <c r="E9" s="2" t="s">
        <v>68</v>
      </c>
      <c r="F9" s="2">
        <v>3.0</v>
      </c>
      <c r="G9" s="2">
        <v>1.0</v>
      </c>
      <c r="H9" s="2">
        <v>2.0</v>
      </c>
      <c r="I9" s="5" t="s">
        <v>241</v>
      </c>
      <c r="J9" s="5" t="str">
        <f>IFERROR(__xludf.DUMMYFUNCTION("""COMPUTED_VALUE"""),"https://drive.google.com/thumbnail?id=1-yHsLzDqpvPMBrCSWDfLY3cEsg90YyGV&amp;sz=s1000")</f>
        <v>https://drive.google.com/thumbnail?id=1-yHsLzDqpvPMBrCSWDfLY3cEsg90YyGV&amp;sz=s1000</v>
      </c>
      <c r="K9" s="6" t="s">
        <v>242</v>
      </c>
      <c r="L9" s="6"/>
      <c r="M9" s="2" t="s">
        <v>139</v>
      </c>
      <c r="N9" s="2" t="s">
        <v>243</v>
      </c>
      <c r="O9" s="7" t="s">
        <v>244</v>
      </c>
    </row>
    <row r="10">
      <c r="A10" s="2">
        <v>9.0</v>
      </c>
      <c r="B10" s="2" t="s">
        <v>245</v>
      </c>
      <c r="C10" s="2" t="s">
        <v>28</v>
      </c>
      <c r="D10" s="2" t="s">
        <v>70</v>
      </c>
      <c r="E10" s="2" t="s">
        <v>68</v>
      </c>
      <c r="F10" s="2">
        <v>3.0</v>
      </c>
      <c r="G10" s="2">
        <v>1.0</v>
      </c>
      <c r="H10" s="2">
        <v>4.0</v>
      </c>
      <c r="I10" s="5" t="s">
        <v>246</v>
      </c>
      <c r="J10" s="5" t="str">
        <f>IFERROR(__xludf.DUMMYFUNCTION("""COMPUTED_VALUE"""),"https://drive.google.com/thumbnail?id=11SwH61xTOotF5shVfNGLGbAQgtYDEFSy&amp;sz=s1000")</f>
        <v>https://drive.google.com/thumbnail?id=11SwH61xTOotF5shVfNGLGbAQgtYDEFSy&amp;sz=s1000</v>
      </c>
      <c r="K10" s="6" t="s">
        <v>247</v>
      </c>
      <c r="L10" s="6"/>
      <c r="M10" s="2" t="s">
        <v>139</v>
      </c>
      <c r="O10" s="7" t="s">
        <v>248</v>
      </c>
    </row>
    <row r="11">
      <c r="A11" s="2">
        <v>10.0</v>
      </c>
      <c r="B11" s="2" t="s">
        <v>249</v>
      </c>
      <c r="C11" s="2" t="s">
        <v>30</v>
      </c>
      <c r="D11" s="2" t="s">
        <v>57</v>
      </c>
      <c r="E11" s="2" t="s">
        <v>71</v>
      </c>
      <c r="F11" s="2">
        <v>2.0</v>
      </c>
      <c r="G11" s="2">
        <v>1.0</v>
      </c>
      <c r="H11" s="2">
        <v>4.0</v>
      </c>
      <c r="I11" s="5" t="s">
        <v>250</v>
      </c>
      <c r="J11" s="5" t="str">
        <f>IFERROR(__xludf.DUMMYFUNCTION("""COMPUTED_VALUE"""),"https://drive.google.com/thumbnail?id=10l_GPD6EKTiAW_XqGR_JDyFJgF70uLh_&amp;sz=s1000")</f>
        <v>https://drive.google.com/thumbnail?id=10l_GPD6EKTiAW_XqGR_JDyFJgF70uLh_&amp;sz=s1000</v>
      </c>
      <c r="K11" s="6" t="s">
        <v>251</v>
      </c>
      <c r="L11" s="6"/>
      <c r="M11" s="2" t="s">
        <v>139</v>
      </c>
      <c r="O11" s="7" t="s">
        <v>252</v>
      </c>
    </row>
    <row r="12">
      <c r="A12" s="2">
        <v>11.0</v>
      </c>
      <c r="B12" s="2" t="s">
        <v>253</v>
      </c>
      <c r="C12" s="2" t="s">
        <v>21</v>
      </c>
      <c r="D12" s="2" t="s">
        <v>53</v>
      </c>
      <c r="E12" s="2" t="s">
        <v>73</v>
      </c>
      <c r="F12" s="2">
        <v>4.0</v>
      </c>
      <c r="G12" s="2">
        <v>1.0</v>
      </c>
      <c r="H12" s="2">
        <v>6.0</v>
      </c>
      <c r="I12" s="5" t="s">
        <v>254</v>
      </c>
      <c r="J12" s="5" t="str">
        <f>IFERROR(__xludf.DUMMYFUNCTION("""COMPUTED_VALUE"""),"https://drive.google.com/thumbnail?id=10fdoZ--36soFtFJm71mS882-hhQGvAGm&amp;sz=s1000")</f>
        <v>https://drive.google.com/thumbnail?id=10fdoZ--36soFtFJm71mS882-hhQGvAGm&amp;sz=s1000</v>
      </c>
      <c r="K12" s="6" t="s">
        <v>255</v>
      </c>
      <c r="L12" s="6"/>
      <c r="M12" s="2" t="s">
        <v>139</v>
      </c>
      <c r="O12" s="7" t="s">
        <v>256</v>
      </c>
    </row>
    <row r="13">
      <c r="A13" s="2">
        <v>12.0</v>
      </c>
      <c r="B13" s="2" t="s">
        <v>257</v>
      </c>
      <c r="C13" s="2" t="s">
        <v>21</v>
      </c>
      <c r="D13" s="2" t="s">
        <v>70</v>
      </c>
      <c r="E13" s="2" t="s">
        <v>77</v>
      </c>
      <c r="F13" s="2">
        <v>4.0</v>
      </c>
      <c r="G13" s="2">
        <v>1.0</v>
      </c>
      <c r="H13" s="2">
        <v>4.0</v>
      </c>
      <c r="I13" s="5" t="s">
        <v>258</v>
      </c>
      <c r="J13" s="5" t="str">
        <f>IFERROR(__xludf.DUMMYFUNCTION("""COMPUTED_VALUE"""),"https://drive.google.com/thumbnail?id=11VDvvrIymdFiuFh-NSqLhAgJq2EWk7-p&amp;sz=s1000")</f>
        <v>https://drive.google.com/thumbnail?id=11VDvvrIymdFiuFh-NSqLhAgJq2EWk7-p&amp;sz=s1000</v>
      </c>
      <c r="K13" s="6" t="s">
        <v>259</v>
      </c>
      <c r="L13" s="6"/>
      <c r="M13" s="2" t="s">
        <v>139</v>
      </c>
      <c r="O13" s="7" t="s">
        <v>260</v>
      </c>
    </row>
    <row r="14">
      <c r="A14" s="2">
        <v>13.0</v>
      </c>
      <c r="B14" s="2" t="s">
        <v>261</v>
      </c>
      <c r="C14" s="2" t="s">
        <v>19</v>
      </c>
      <c r="D14" s="2" t="s">
        <v>43</v>
      </c>
      <c r="E14" s="2" t="s">
        <v>68</v>
      </c>
      <c r="F14" s="2">
        <v>3.0</v>
      </c>
      <c r="G14" s="2">
        <v>1.0</v>
      </c>
      <c r="H14" s="2">
        <v>1.0</v>
      </c>
      <c r="I14" s="5" t="s">
        <v>262</v>
      </c>
      <c r="J14" s="5" t="str">
        <f>IFERROR(__xludf.DUMMYFUNCTION("""COMPUTED_VALUE"""),"https://drive.google.com/thumbnail?id=1-lT9VC-VWRT2nKCM-sXOlzekBzl6eK2m&amp;sz=s1000")</f>
        <v>https://drive.google.com/thumbnail?id=1-lT9VC-VWRT2nKCM-sXOlzekBzl6eK2m&amp;sz=s1000</v>
      </c>
      <c r="K14" s="6" t="s">
        <v>263</v>
      </c>
      <c r="L14" s="6"/>
      <c r="M14" s="2" t="s">
        <v>139</v>
      </c>
      <c r="O14" s="7" t="s">
        <v>264</v>
      </c>
    </row>
    <row r="15">
      <c r="A15" s="2">
        <v>14.0</v>
      </c>
      <c r="B15" s="2" t="s">
        <v>265</v>
      </c>
      <c r="C15" s="2" t="s">
        <v>12</v>
      </c>
      <c r="D15" s="2" t="s">
        <v>75</v>
      </c>
      <c r="E15" s="2" t="s">
        <v>68</v>
      </c>
      <c r="F15" s="2">
        <v>3.0</v>
      </c>
      <c r="G15" s="2">
        <v>1.0</v>
      </c>
      <c r="H15" s="2">
        <v>4.0</v>
      </c>
      <c r="I15" s="5" t="s">
        <v>266</v>
      </c>
      <c r="J15" s="5" t="str">
        <f>IFERROR(__xludf.DUMMYFUNCTION("""COMPUTED_VALUE"""),"https://drive.google.com/thumbnail?id=10hU1spdcK219FgGNW-GzmYKRpFlQQv6_&amp;sz=s1000")</f>
        <v>https://drive.google.com/thumbnail?id=10hU1spdcK219FgGNW-GzmYKRpFlQQv6_&amp;sz=s1000</v>
      </c>
      <c r="K15" s="6" t="s">
        <v>267</v>
      </c>
      <c r="L15" s="6"/>
      <c r="M15" s="2" t="s">
        <v>139</v>
      </c>
      <c r="O15" s="7" t="s">
        <v>268</v>
      </c>
    </row>
    <row r="16">
      <c r="A16" s="2">
        <v>15.0</v>
      </c>
      <c r="B16" s="2" t="s">
        <v>269</v>
      </c>
      <c r="C16" s="2" t="s">
        <v>19</v>
      </c>
      <c r="D16" s="2" t="s">
        <v>39</v>
      </c>
      <c r="E16" s="2" t="s">
        <v>68</v>
      </c>
      <c r="F16" s="2">
        <v>3.0</v>
      </c>
      <c r="G16" s="2">
        <v>2.0</v>
      </c>
      <c r="H16" s="2">
        <v>4.0</v>
      </c>
      <c r="I16" s="5" t="s">
        <v>270</v>
      </c>
      <c r="J16" s="5" t="str">
        <f>IFERROR(__xludf.DUMMYFUNCTION("""COMPUTED_VALUE"""),"https://drive.google.com/thumbnail?id=1-xvByVRYVFhmDyzUKKJPcpvHoF1FqMMH&amp;sz=s1000")</f>
        <v>https://drive.google.com/thumbnail?id=1-xvByVRYVFhmDyzUKKJPcpvHoF1FqMMH&amp;sz=s1000</v>
      </c>
      <c r="K16" s="6" t="s">
        <v>271</v>
      </c>
      <c r="L16" s="6"/>
      <c r="M16" s="2" t="s">
        <v>139</v>
      </c>
      <c r="O16" s="7" t="s">
        <v>272</v>
      </c>
    </row>
    <row r="17">
      <c r="A17" s="2">
        <v>16.0</v>
      </c>
      <c r="B17" s="2" t="s">
        <v>273</v>
      </c>
      <c r="C17" s="2" t="s">
        <v>32</v>
      </c>
      <c r="D17" s="2" t="s">
        <v>45</v>
      </c>
      <c r="E17" s="2" t="s">
        <v>79</v>
      </c>
      <c r="F17" s="2">
        <v>4.0</v>
      </c>
      <c r="G17" s="2">
        <v>2.0</v>
      </c>
      <c r="H17" s="2">
        <v>4.0</v>
      </c>
      <c r="I17" s="5" t="s">
        <v>274</v>
      </c>
      <c r="J17" s="5" t="str">
        <f>IFERROR(__xludf.DUMMYFUNCTION("""COMPUTED_VALUE"""),"https://drive.google.com/thumbnail?id=123cNwYUib0TBOr6uaM3i9qhOMF9FPg1H&amp;sz=s1000")</f>
        <v>https://drive.google.com/thumbnail?id=123cNwYUib0TBOr6uaM3i9qhOMF9FPg1H&amp;sz=s1000</v>
      </c>
      <c r="K17" s="6" t="s">
        <v>275</v>
      </c>
      <c r="L17" s="6"/>
      <c r="M17" s="2" t="s">
        <v>139</v>
      </c>
      <c r="O17" s="7" t="s">
        <v>276</v>
      </c>
    </row>
    <row r="18">
      <c r="A18" s="2">
        <v>17.0</v>
      </c>
      <c r="B18" s="2" t="s">
        <v>277</v>
      </c>
      <c r="C18" s="2" t="s">
        <v>28</v>
      </c>
      <c r="D18" s="2" t="s">
        <v>47</v>
      </c>
      <c r="E18" s="2" t="s">
        <v>68</v>
      </c>
      <c r="F18" s="2">
        <v>2.0</v>
      </c>
      <c r="G18" s="2">
        <v>1.0</v>
      </c>
      <c r="H18" s="2">
        <v>2.0</v>
      </c>
      <c r="I18" s="5" t="s">
        <v>278</v>
      </c>
      <c r="J18" s="5" t="str">
        <f>IFERROR(__xludf.DUMMYFUNCTION("""COMPUTED_VALUE"""),"https://drive.google.com/thumbnail?id=12XaZibnchUZLUsr4fT6A8Xg7K7Na9SW9&amp;sz=s1000")</f>
        <v>https://drive.google.com/thumbnail?id=12XaZibnchUZLUsr4fT6A8Xg7K7Na9SW9&amp;sz=s1000</v>
      </c>
      <c r="K18" s="6" t="s">
        <v>279</v>
      </c>
      <c r="L18" s="6"/>
      <c r="M18" s="2" t="s">
        <v>139</v>
      </c>
      <c r="O18" s="7" t="s">
        <v>280</v>
      </c>
    </row>
    <row r="19">
      <c r="A19" s="2">
        <v>18.0</v>
      </c>
      <c r="B19" s="2" t="s">
        <v>281</v>
      </c>
      <c r="C19" s="2" t="s">
        <v>19</v>
      </c>
      <c r="D19" s="2" t="s">
        <v>43</v>
      </c>
      <c r="E19" s="2" t="s">
        <v>68</v>
      </c>
      <c r="F19" s="2">
        <v>3.0</v>
      </c>
      <c r="G19" s="2">
        <v>1.0</v>
      </c>
      <c r="H19" s="2">
        <v>1.0</v>
      </c>
      <c r="I19" s="5" t="s">
        <v>282</v>
      </c>
      <c r="J19" s="5" t="str">
        <f>IFERROR(__xludf.DUMMYFUNCTION("""COMPUTED_VALUE"""),"https://drive.google.com/thumbnail?id=112_g4s1fSr21FtnzjKDF7dj5yMIfTky_&amp;sz=s1000")</f>
        <v>https://drive.google.com/thumbnail?id=112_g4s1fSr21FtnzjKDF7dj5yMIfTky_&amp;sz=s1000</v>
      </c>
      <c r="K19" s="6" t="s">
        <v>283</v>
      </c>
      <c r="L19" s="6"/>
      <c r="M19" s="2" t="s">
        <v>139</v>
      </c>
      <c r="O19" s="7" t="s">
        <v>284</v>
      </c>
    </row>
    <row r="20">
      <c r="A20" s="2">
        <v>19.0</v>
      </c>
      <c r="B20" s="2" t="s">
        <v>285</v>
      </c>
      <c r="C20" s="2" t="s">
        <v>19</v>
      </c>
      <c r="D20" s="2" t="s">
        <v>75</v>
      </c>
      <c r="E20" s="2" t="s">
        <v>82</v>
      </c>
      <c r="F20" s="2">
        <v>3.0</v>
      </c>
      <c r="G20" s="2">
        <v>1.0</v>
      </c>
      <c r="H20" s="2">
        <v>4.0</v>
      </c>
      <c r="I20" s="5" t="s">
        <v>286</v>
      </c>
      <c r="J20" s="5" t="str">
        <f>IFERROR(__xludf.DUMMYFUNCTION("""COMPUTED_VALUE"""),"https://drive.google.com/thumbnail?id=12RBHXxM3enTBw-IyFbVdqoqiHoVGrUc4&amp;sz=s1000")</f>
        <v>https://drive.google.com/thumbnail?id=12RBHXxM3enTBw-IyFbVdqoqiHoVGrUc4&amp;sz=s1000</v>
      </c>
      <c r="K20" s="6" t="s">
        <v>287</v>
      </c>
      <c r="L20" s="6"/>
      <c r="M20" s="2" t="s">
        <v>139</v>
      </c>
      <c r="O20" s="7" t="s">
        <v>288</v>
      </c>
    </row>
    <row r="21">
      <c r="A21" s="2">
        <v>20.0</v>
      </c>
      <c r="B21" s="2" t="s">
        <v>289</v>
      </c>
      <c r="C21" s="2" t="s">
        <v>19</v>
      </c>
      <c r="D21" s="2" t="s">
        <v>43</v>
      </c>
      <c r="E21" s="2" t="s">
        <v>79</v>
      </c>
      <c r="F21" s="2">
        <v>4.0</v>
      </c>
      <c r="G21" s="2">
        <v>1.0</v>
      </c>
      <c r="H21" s="2">
        <v>1.0</v>
      </c>
      <c r="I21" s="5" t="s">
        <v>290</v>
      </c>
      <c r="J21" s="5" t="str">
        <f>IFERROR(__xludf.DUMMYFUNCTION("""COMPUTED_VALUE"""),"https://drive.google.com/thumbnail?id=12LC34d5jkA9OCFr7xDTnVpbu_4jVdW5o&amp;sz=s1000")</f>
        <v>https://drive.google.com/thumbnail?id=12LC34d5jkA9OCFr7xDTnVpbu_4jVdW5o&amp;sz=s1000</v>
      </c>
      <c r="K21" s="6" t="s">
        <v>291</v>
      </c>
      <c r="L21" s="6"/>
      <c r="M21" s="2" t="s">
        <v>139</v>
      </c>
      <c r="O21" s="7" t="s">
        <v>292</v>
      </c>
    </row>
    <row r="22">
      <c r="A22" s="2">
        <v>21.0</v>
      </c>
      <c r="B22" s="2" t="s">
        <v>293</v>
      </c>
      <c r="C22" s="2" t="s">
        <v>19</v>
      </c>
      <c r="D22" s="2" t="s">
        <v>47</v>
      </c>
      <c r="E22" s="2" t="s">
        <v>68</v>
      </c>
      <c r="F22" s="2">
        <v>4.0</v>
      </c>
      <c r="G22" s="2">
        <v>1.0</v>
      </c>
      <c r="H22" s="2">
        <v>1.0</v>
      </c>
      <c r="I22" s="5" t="s">
        <v>294</v>
      </c>
      <c r="J22" s="5" t="str">
        <f>IFERROR(__xludf.DUMMYFUNCTION("""COMPUTED_VALUE"""),"https://drive.google.com/thumbnail?id=10oX_HKCXxf3p8ardSda6R7Zu05lAEzlm&amp;sz=s1000")</f>
        <v>https://drive.google.com/thumbnail?id=10oX_HKCXxf3p8ardSda6R7Zu05lAEzlm&amp;sz=s1000</v>
      </c>
      <c r="K22" s="6" t="s">
        <v>295</v>
      </c>
      <c r="L22" s="6"/>
      <c r="M22" s="2" t="s">
        <v>139</v>
      </c>
      <c r="O22" s="7" t="s">
        <v>296</v>
      </c>
    </row>
    <row r="23">
      <c r="A23" s="2">
        <v>22.0</v>
      </c>
      <c r="B23" s="2" t="s">
        <v>297</v>
      </c>
      <c r="C23" s="2" t="s">
        <v>19</v>
      </c>
      <c r="D23" s="2" t="s">
        <v>45</v>
      </c>
      <c r="E23" s="2" t="s">
        <v>79</v>
      </c>
      <c r="F23" s="2">
        <v>2.0</v>
      </c>
      <c r="G23" s="2">
        <v>1.0</v>
      </c>
      <c r="H23" s="2">
        <v>1.0</v>
      </c>
      <c r="I23" s="5" t="s">
        <v>298</v>
      </c>
      <c r="J23" s="5" t="str">
        <f>IFERROR(__xludf.DUMMYFUNCTION("""COMPUTED_VALUE"""),"https://drive.google.com/thumbnail?id=10zSjfS30fhUWg0yl_vctbi_iu-9j4pWn&amp;sz=s1000")</f>
        <v>https://drive.google.com/thumbnail?id=10zSjfS30fhUWg0yl_vctbi_iu-9j4pWn&amp;sz=s1000</v>
      </c>
      <c r="K23" s="6" t="s">
        <v>299</v>
      </c>
      <c r="L23" s="6"/>
      <c r="M23" s="2" t="s">
        <v>139</v>
      </c>
      <c r="O23" s="7" t="s">
        <v>300</v>
      </c>
    </row>
    <row r="24">
      <c r="A24" s="2">
        <v>23.0</v>
      </c>
      <c r="B24" s="2" t="s">
        <v>301</v>
      </c>
      <c r="C24" s="2" t="s">
        <v>19</v>
      </c>
      <c r="D24" s="2" t="s">
        <v>45</v>
      </c>
      <c r="E24" s="2" t="s">
        <v>79</v>
      </c>
      <c r="F24" s="2">
        <v>2.0</v>
      </c>
      <c r="G24" s="2">
        <v>1.0</v>
      </c>
      <c r="H24" s="2">
        <v>1.0</v>
      </c>
      <c r="I24" s="5" t="s">
        <v>302</v>
      </c>
      <c r="J24" s="5" t="str">
        <f>IFERROR(__xludf.DUMMYFUNCTION("""COMPUTED_VALUE"""),"https://drive.google.com/thumbnail?id=12Ndrrl82AsFzdXJt6GBFbTvn38ONeKL8&amp;sz=s1000")</f>
        <v>https://drive.google.com/thumbnail?id=12Ndrrl82AsFzdXJt6GBFbTvn38ONeKL8&amp;sz=s1000</v>
      </c>
      <c r="K24" s="6" t="s">
        <v>303</v>
      </c>
      <c r="L24" s="6"/>
      <c r="M24" s="2" t="s">
        <v>139</v>
      </c>
      <c r="O24" s="7" t="s">
        <v>304</v>
      </c>
    </row>
    <row r="25">
      <c r="A25" s="2">
        <v>24.0</v>
      </c>
      <c r="B25" s="2" t="s">
        <v>305</v>
      </c>
      <c r="C25" s="2" t="s">
        <v>19</v>
      </c>
      <c r="D25" s="2" t="s">
        <v>45</v>
      </c>
      <c r="E25" s="2" t="s">
        <v>58</v>
      </c>
      <c r="F25" s="2">
        <v>4.0</v>
      </c>
      <c r="G25" s="2">
        <v>1.0</v>
      </c>
      <c r="H25" s="2">
        <v>1.0</v>
      </c>
      <c r="I25" s="5" t="s">
        <v>306</v>
      </c>
      <c r="J25" s="5" t="str">
        <f>IFERROR(__xludf.DUMMYFUNCTION("""COMPUTED_VALUE"""),"https://drive.google.com/thumbnail?id=11NsQgA4k_0qdrdJ4Dwzeet2YOR7_IwbA&amp;sz=s1000")</f>
        <v>https://drive.google.com/thumbnail?id=11NsQgA4k_0qdrdJ4Dwzeet2YOR7_IwbA&amp;sz=s1000</v>
      </c>
      <c r="K25" s="6" t="s">
        <v>307</v>
      </c>
      <c r="L25" s="6"/>
      <c r="M25" s="2" t="s">
        <v>139</v>
      </c>
      <c r="O25" s="7" t="s">
        <v>308</v>
      </c>
    </row>
    <row r="26">
      <c r="A26" s="2">
        <v>25.0</v>
      </c>
      <c r="B26" s="2" t="s">
        <v>309</v>
      </c>
      <c r="C26" s="2" t="s">
        <v>19</v>
      </c>
      <c r="D26" s="2" t="s">
        <v>45</v>
      </c>
      <c r="E26" s="2" t="s">
        <v>79</v>
      </c>
      <c r="F26" s="2">
        <v>4.0</v>
      </c>
      <c r="G26" s="2">
        <v>1.0</v>
      </c>
      <c r="H26" s="2">
        <v>1.0</v>
      </c>
      <c r="I26" s="5" t="s">
        <v>310</v>
      </c>
      <c r="J26" s="5" t="str">
        <f>IFERROR(__xludf.DUMMYFUNCTION("""COMPUTED_VALUE"""),"https://drive.google.com/thumbnail?id=1-_QWuk83-rgd5Rv0uxhPkfIHuA9fVOrW&amp;sz=s1000")</f>
        <v>https://drive.google.com/thumbnail?id=1-_QWuk83-rgd5Rv0uxhPkfIHuA9fVOrW&amp;sz=s1000</v>
      </c>
      <c r="K26" s="6" t="s">
        <v>311</v>
      </c>
      <c r="L26" s="6"/>
      <c r="M26" s="2" t="s">
        <v>139</v>
      </c>
      <c r="O26" s="7" t="s">
        <v>312</v>
      </c>
    </row>
    <row r="27">
      <c r="A27" s="2">
        <v>26.0</v>
      </c>
      <c r="B27" s="2" t="s">
        <v>313</v>
      </c>
      <c r="C27" s="2" t="s">
        <v>32</v>
      </c>
      <c r="D27" s="2" t="s">
        <v>66</v>
      </c>
      <c r="E27" s="2" t="s">
        <v>79</v>
      </c>
      <c r="F27" s="2">
        <v>3.0</v>
      </c>
      <c r="G27" s="2">
        <v>1.0</v>
      </c>
      <c r="H27" s="2">
        <v>1.0</v>
      </c>
      <c r="I27" s="5" t="s">
        <v>314</v>
      </c>
      <c r="J27" s="5" t="str">
        <f>IFERROR(__xludf.DUMMYFUNCTION("""COMPUTED_VALUE"""),"https://drive.google.com/thumbnail?id=1-K2FHTHfnGTjVMo530AeXn_FVhFm6sHX&amp;sz=s1000")</f>
        <v>https://drive.google.com/thumbnail?id=1-K2FHTHfnGTjVMo530AeXn_FVhFm6sHX&amp;sz=s1000</v>
      </c>
      <c r="K27" s="6" t="s">
        <v>315</v>
      </c>
      <c r="L27" s="6"/>
      <c r="M27" s="2" t="s">
        <v>139</v>
      </c>
      <c r="O27" s="7" t="s">
        <v>316</v>
      </c>
    </row>
    <row r="28">
      <c r="A28" s="2">
        <v>27.0</v>
      </c>
      <c r="B28" s="2" t="s">
        <v>317</v>
      </c>
      <c r="C28" s="2" t="s">
        <v>32</v>
      </c>
      <c r="D28" s="2" t="s">
        <v>66</v>
      </c>
      <c r="E28" s="2" t="s">
        <v>79</v>
      </c>
      <c r="F28" s="2">
        <v>3.0</v>
      </c>
      <c r="G28" s="2">
        <v>1.0</v>
      </c>
      <c r="H28" s="2">
        <v>1.0</v>
      </c>
      <c r="I28" s="5" t="s">
        <v>318</v>
      </c>
      <c r="J28" s="5" t="str">
        <f>IFERROR(__xludf.DUMMYFUNCTION("""COMPUTED_VALUE"""),"https://drive.google.com/thumbnail?id=1-cBLPZA2mgpvvx5sH7QTtyz1EkglMhDe&amp;sz=s1000")</f>
        <v>https://drive.google.com/thumbnail?id=1-cBLPZA2mgpvvx5sH7QTtyz1EkglMhDe&amp;sz=s1000</v>
      </c>
      <c r="K28" s="6" t="s">
        <v>319</v>
      </c>
      <c r="L28" s="6"/>
      <c r="M28" s="2" t="s">
        <v>139</v>
      </c>
      <c r="O28" s="7" t="s">
        <v>320</v>
      </c>
    </row>
    <row r="29">
      <c r="A29" s="2">
        <v>28.0</v>
      </c>
      <c r="B29" s="2" t="s">
        <v>321</v>
      </c>
      <c r="C29" s="2" t="s">
        <v>32</v>
      </c>
      <c r="D29" s="2" t="s">
        <v>66</v>
      </c>
      <c r="E29" s="2" t="s">
        <v>79</v>
      </c>
      <c r="F29" s="2">
        <v>5.0</v>
      </c>
      <c r="G29" s="2">
        <v>1.0</v>
      </c>
      <c r="H29" s="2">
        <v>1.0</v>
      </c>
      <c r="I29" s="5" t="s">
        <v>322</v>
      </c>
      <c r="J29" s="5" t="str">
        <f>IFERROR(__xludf.DUMMYFUNCTION("""COMPUTED_VALUE"""),"https://drive.google.com/thumbnail?id=10-1ClFIuF9iaVBxQZcq50Ncrwfh59tbR&amp;sz=s1000")</f>
        <v>https://drive.google.com/thumbnail?id=10-1ClFIuF9iaVBxQZcq50Ncrwfh59tbR&amp;sz=s1000</v>
      </c>
      <c r="K29" s="6" t="s">
        <v>323</v>
      </c>
      <c r="L29" s="6"/>
      <c r="M29" s="2" t="s">
        <v>139</v>
      </c>
      <c r="O29" s="7" t="s">
        <v>324</v>
      </c>
    </row>
    <row r="30">
      <c r="A30" s="2">
        <v>29.0</v>
      </c>
      <c r="B30" s="2" t="s">
        <v>325</v>
      </c>
      <c r="C30" s="2" t="s">
        <v>32</v>
      </c>
      <c r="D30" s="2" t="s">
        <v>66</v>
      </c>
      <c r="E30" s="2" t="s">
        <v>79</v>
      </c>
      <c r="F30" s="2">
        <v>4.0</v>
      </c>
      <c r="G30" s="2">
        <v>1.0</v>
      </c>
      <c r="H30" s="2">
        <v>1.0</v>
      </c>
      <c r="I30" s="5" t="s">
        <v>326</v>
      </c>
      <c r="J30" s="5" t="str">
        <f>IFERROR(__xludf.DUMMYFUNCTION("""COMPUTED_VALUE"""),"https://drive.google.com/thumbnail?id=10rny03nBtclbT8TuZs4DyylaEIHxBwmu&amp;sz=s1000")</f>
        <v>https://drive.google.com/thumbnail?id=10rny03nBtclbT8TuZs4DyylaEIHxBwmu&amp;sz=s1000</v>
      </c>
      <c r="K30" s="6" t="s">
        <v>327</v>
      </c>
      <c r="L30" s="6"/>
      <c r="M30" s="2" t="s">
        <v>139</v>
      </c>
      <c r="O30" s="7" t="s">
        <v>328</v>
      </c>
    </row>
    <row r="31">
      <c r="A31" s="2">
        <v>30.0</v>
      </c>
      <c r="B31" s="2" t="s">
        <v>329</v>
      </c>
      <c r="C31" s="2" t="s">
        <v>32</v>
      </c>
      <c r="D31" s="2" t="s">
        <v>45</v>
      </c>
      <c r="E31" s="2" t="s">
        <v>79</v>
      </c>
      <c r="F31" s="2">
        <v>4.0</v>
      </c>
      <c r="G31" s="2">
        <v>1.0</v>
      </c>
      <c r="H31" s="2">
        <v>1.0</v>
      </c>
      <c r="I31" s="5" t="s">
        <v>330</v>
      </c>
      <c r="J31" s="5" t="str">
        <f>IFERROR(__xludf.DUMMYFUNCTION("""COMPUTED_VALUE"""),"https://drive.google.com/thumbnail?id=1-TVfvfqfaODNollPpSkLH4JzGq8GqTc6&amp;sz=s1000")</f>
        <v>https://drive.google.com/thumbnail?id=1-TVfvfqfaODNollPpSkLH4JzGq8GqTc6&amp;sz=s1000</v>
      </c>
      <c r="K31" s="6" t="s">
        <v>331</v>
      </c>
      <c r="L31" s="6"/>
      <c r="M31" s="2" t="s">
        <v>139</v>
      </c>
      <c r="O31" s="7" t="s">
        <v>332</v>
      </c>
    </row>
    <row r="32">
      <c r="A32" s="2">
        <v>31.0</v>
      </c>
      <c r="B32" s="2" t="s">
        <v>333</v>
      </c>
      <c r="C32" s="2" t="s">
        <v>32</v>
      </c>
      <c r="D32" s="2" t="s">
        <v>45</v>
      </c>
      <c r="E32" s="2" t="s">
        <v>79</v>
      </c>
      <c r="F32" s="2">
        <v>4.0</v>
      </c>
      <c r="G32" s="2">
        <v>1.0</v>
      </c>
      <c r="H32" s="2">
        <v>1.0</v>
      </c>
      <c r="I32" s="5" t="s">
        <v>334</v>
      </c>
      <c r="J32" s="5" t="str">
        <f>IFERROR(__xludf.DUMMYFUNCTION("""COMPUTED_VALUE"""),"https://drive.google.com/thumbnail?id=1-dGQrbsCn0FihYGSl7aSUSSGLmuievsd&amp;sz=s1000")</f>
        <v>https://drive.google.com/thumbnail?id=1-dGQrbsCn0FihYGSl7aSUSSGLmuievsd&amp;sz=s1000</v>
      </c>
      <c r="K32" s="6" t="s">
        <v>335</v>
      </c>
      <c r="L32" s="6"/>
      <c r="M32" s="2" t="s">
        <v>139</v>
      </c>
      <c r="O32" s="7" t="s">
        <v>336</v>
      </c>
    </row>
    <row r="33">
      <c r="A33" s="2">
        <v>32.0</v>
      </c>
      <c r="B33" s="2" t="s">
        <v>337</v>
      </c>
      <c r="C33" s="2" t="s">
        <v>32</v>
      </c>
      <c r="D33" s="2" t="s">
        <v>45</v>
      </c>
      <c r="E33" s="2" t="s">
        <v>79</v>
      </c>
      <c r="F33" s="2">
        <v>4.0</v>
      </c>
      <c r="G33" s="2">
        <v>1.0</v>
      </c>
      <c r="H33" s="2">
        <v>1.0</v>
      </c>
      <c r="I33" s="5" t="s">
        <v>338</v>
      </c>
      <c r="J33" s="5" t="str">
        <f>IFERROR(__xludf.DUMMYFUNCTION("""COMPUTED_VALUE"""),"https://drive.google.com/thumbnail?id=1060KV3UiKU3aTeqUuGbymdlLjY57ZrkQ&amp;sz=s1000")</f>
        <v>https://drive.google.com/thumbnail?id=1060KV3UiKU3aTeqUuGbymdlLjY57ZrkQ&amp;sz=s1000</v>
      </c>
      <c r="K33" s="6" t="s">
        <v>339</v>
      </c>
      <c r="L33" s="6"/>
      <c r="M33" s="2" t="s">
        <v>139</v>
      </c>
      <c r="O33" s="7" t="s">
        <v>340</v>
      </c>
    </row>
    <row r="34">
      <c r="A34" s="2">
        <v>33.0</v>
      </c>
      <c r="B34" s="2" t="s">
        <v>341</v>
      </c>
      <c r="C34" s="2" t="s">
        <v>28</v>
      </c>
      <c r="D34" s="2" t="s">
        <v>47</v>
      </c>
      <c r="E34" s="2" t="s">
        <v>34</v>
      </c>
      <c r="F34" s="2">
        <v>3.0</v>
      </c>
      <c r="G34" s="2">
        <v>1.0</v>
      </c>
      <c r="H34" s="2">
        <v>1.0</v>
      </c>
      <c r="I34" s="5" t="s">
        <v>342</v>
      </c>
      <c r="J34" s="5" t="str">
        <f>IFERROR(__xludf.DUMMYFUNCTION("""COMPUTED_VALUE"""),"https://drive.google.com/thumbnail?id=10wfVX5clBbDZp8PIpUsaw8qgpd7rCrb3&amp;sz=s1000")</f>
        <v>https://drive.google.com/thumbnail?id=10wfVX5clBbDZp8PIpUsaw8qgpd7rCrb3&amp;sz=s1000</v>
      </c>
      <c r="K34" s="6" t="s">
        <v>343</v>
      </c>
      <c r="L34" s="6"/>
      <c r="M34" s="2" t="s">
        <v>139</v>
      </c>
      <c r="O34" s="7" t="s">
        <v>344</v>
      </c>
    </row>
    <row r="35">
      <c r="A35" s="2">
        <v>34.0</v>
      </c>
      <c r="B35" s="2" t="s">
        <v>345</v>
      </c>
      <c r="C35" s="2" t="s">
        <v>28</v>
      </c>
      <c r="D35" s="2" t="s">
        <v>47</v>
      </c>
      <c r="E35" s="2" t="s">
        <v>34</v>
      </c>
      <c r="F35" s="2">
        <v>3.0</v>
      </c>
      <c r="G35" s="2">
        <v>1.0</v>
      </c>
      <c r="H35" s="2">
        <v>1.0</v>
      </c>
      <c r="I35" s="5" t="s">
        <v>346</v>
      </c>
      <c r="J35" s="5" t="str">
        <f>IFERROR(__xludf.DUMMYFUNCTION("""COMPUTED_VALUE"""),"https://drive.google.com/thumbnail?id=11_1SKzOzLtgAIAquH7IsUygIWPAV1DYK&amp;sz=s1000")</f>
        <v>https://drive.google.com/thumbnail?id=11_1SKzOzLtgAIAquH7IsUygIWPAV1DYK&amp;sz=s1000</v>
      </c>
      <c r="K35" s="6" t="s">
        <v>347</v>
      </c>
      <c r="L35" s="6"/>
      <c r="M35" s="2" t="s">
        <v>139</v>
      </c>
      <c r="O35" s="7" t="s">
        <v>348</v>
      </c>
    </row>
    <row r="36">
      <c r="A36" s="2">
        <v>35.0</v>
      </c>
      <c r="B36" s="2" t="s">
        <v>349</v>
      </c>
      <c r="C36" s="2" t="s">
        <v>19</v>
      </c>
      <c r="D36" s="2" t="s">
        <v>81</v>
      </c>
      <c r="E36" s="2" t="s">
        <v>86</v>
      </c>
      <c r="F36" s="2">
        <v>3.0</v>
      </c>
      <c r="G36" s="2">
        <v>1.0</v>
      </c>
      <c r="H36" s="2">
        <v>1.0</v>
      </c>
      <c r="I36" s="5" t="s">
        <v>350</v>
      </c>
      <c r="J36" s="5" t="str">
        <f>IFERROR(__xludf.DUMMYFUNCTION("""COMPUTED_VALUE"""),"https://drive.google.com/thumbnail?id=10Oznd8VUEwEnVf4hHsYJyEYCOjXy9nEU&amp;sz=s1000")</f>
        <v>https://drive.google.com/thumbnail?id=10Oznd8VUEwEnVf4hHsYJyEYCOjXy9nEU&amp;sz=s1000</v>
      </c>
      <c r="K36" s="6" t="s">
        <v>351</v>
      </c>
      <c r="L36" s="6"/>
      <c r="M36" s="2" t="s">
        <v>139</v>
      </c>
      <c r="O36" s="7" t="s">
        <v>352</v>
      </c>
    </row>
    <row r="37">
      <c r="A37" s="2">
        <v>36.0</v>
      </c>
      <c r="B37" s="2" t="s">
        <v>353</v>
      </c>
      <c r="C37" s="2" t="s">
        <v>19</v>
      </c>
      <c r="D37" s="2" t="s">
        <v>39</v>
      </c>
      <c r="E37" s="2" t="s">
        <v>86</v>
      </c>
      <c r="F37" s="2">
        <v>3.0</v>
      </c>
      <c r="G37" s="2">
        <v>1.0</v>
      </c>
      <c r="H37" s="2">
        <v>1.0</v>
      </c>
      <c r="I37" s="5" t="s">
        <v>354</v>
      </c>
      <c r="J37" s="5" t="str">
        <f>IFERROR(__xludf.DUMMYFUNCTION("""COMPUTED_VALUE"""),"https://drive.google.com/thumbnail?id=105Gh2uvTYYkEq8VFUAn1HWNKzOZsSvIQ&amp;sz=s1000")</f>
        <v>https://drive.google.com/thumbnail?id=105Gh2uvTYYkEq8VFUAn1HWNKzOZsSvIQ&amp;sz=s1000</v>
      </c>
      <c r="K37" s="6" t="s">
        <v>355</v>
      </c>
      <c r="L37" s="6"/>
      <c r="M37" s="2" t="s">
        <v>139</v>
      </c>
      <c r="O37" s="7" t="s">
        <v>356</v>
      </c>
    </row>
    <row r="38">
      <c r="A38" s="2">
        <v>37.0</v>
      </c>
      <c r="B38" s="2" t="s">
        <v>357</v>
      </c>
      <c r="C38" s="2" t="s">
        <v>28</v>
      </c>
      <c r="D38" s="2" t="s">
        <v>47</v>
      </c>
      <c r="E38" s="2" t="s">
        <v>24</v>
      </c>
      <c r="F38" s="2">
        <v>3.0</v>
      </c>
      <c r="G38" s="2">
        <v>1.0</v>
      </c>
      <c r="H38" s="2">
        <v>1.0</v>
      </c>
      <c r="I38" s="5" t="s">
        <v>358</v>
      </c>
      <c r="J38" s="5" t="str">
        <f>IFERROR(__xludf.DUMMYFUNCTION("""COMPUTED_VALUE"""),"https://drive.google.com/thumbnail?id=1-aCPZJdINTc49AJqAraXGCyS68ozMlvV&amp;sz=s1000")</f>
        <v>https://drive.google.com/thumbnail?id=1-aCPZJdINTc49AJqAraXGCyS68ozMlvV&amp;sz=s1000</v>
      </c>
      <c r="K38" s="6" t="s">
        <v>359</v>
      </c>
      <c r="L38" s="6"/>
      <c r="M38" s="2" t="s">
        <v>139</v>
      </c>
      <c r="O38" s="7" t="s">
        <v>360</v>
      </c>
    </row>
    <row r="39">
      <c r="A39" s="2">
        <v>38.0</v>
      </c>
      <c r="B39" s="2" t="s">
        <v>361</v>
      </c>
      <c r="C39" s="2" t="s">
        <v>28</v>
      </c>
      <c r="D39" s="2" t="s">
        <v>47</v>
      </c>
      <c r="E39" s="2" t="s">
        <v>77</v>
      </c>
      <c r="F39" s="2">
        <v>3.0</v>
      </c>
      <c r="G39" s="2">
        <v>1.0</v>
      </c>
      <c r="H39" s="2">
        <v>1.0</v>
      </c>
      <c r="I39" s="5" t="s">
        <v>362</v>
      </c>
      <c r="J39" s="5" t="str">
        <f>IFERROR(__xludf.DUMMYFUNCTION("""COMPUTED_VALUE"""),"https://drive.google.com/thumbnail?id=124AvHHE2GC8stkmpvQWO6ZJhQ_4CcfkH&amp;sz=s1000")</f>
        <v>https://drive.google.com/thumbnail?id=124AvHHE2GC8stkmpvQWO6ZJhQ_4CcfkH&amp;sz=s1000</v>
      </c>
      <c r="K39" s="6" t="s">
        <v>363</v>
      </c>
      <c r="L39" s="6"/>
      <c r="M39" s="2" t="s">
        <v>139</v>
      </c>
      <c r="O39" s="7" t="s">
        <v>364</v>
      </c>
    </row>
    <row r="40">
      <c r="A40" s="2">
        <v>39.0</v>
      </c>
      <c r="B40" s="2" t="s">
        <v>365</v>
      </c>
      <c r="C40" s="2" t="s">
        <v>19</v>
      </c>
      <c r="D40" s="2" t="s">
        <v>47</v>
      </c>
      <c r="E40" s="2" t="s">
        <v>24</v>
      </c>
      <c r="F40" s="2">
        <v>3.0</v>
      </c>
      <c r="G40" s="2">
        <v>1.0</v>
      </c>
      <c r="H40" s="2">
        <v>1.0</v>
      </c>
      <c r="I40" s="5" t="s">
        <v>366</v>
      </c>
      <c r="J40" s="5" t="str">
        <f>IFERROR(__xludf.DUMMYFUNCTION("""COMPUTED_VALUE"""),"https://drive.google.com/thumbnail?id=10UaPQvWrR4JkgCIt65pDrXIrQuGH6Yvf&amp;sz=s1000")</f>
        <v>https://drive.google.com/thumbnail?id=10UaPQvWrR4JkgCIt65pDrXIrQuGH6Yvf&amp;sz=s1000</v>
      </c>
      <c r="K40" s="6" t="s">
        <v>367</v>
      </c>
      <c r="L40" s="6"/>
      <c r="M40" s="2" t="s">
        <v>139</v>
      </c>
      <c r="O40" s="7" t="s">
        <v>368</v>
      </c>
    </row>
    <row r="41">
      <c r="A41" s="2">
        <v>40.0</v>
      </c>
      <c r="B41" s="2" t="s">
        <v>369</v>
      </c>
      <c r="C41" s="2" t="s">
        <v>28</v>
      </c>
      <c r="D41" s="2" t="s">
        <v>47</v>
      </c>
      <c r="E41" s="2" t="s">
        <v>68</v>
      </c>
      <c r="F41" s="2">
        <v>3.0</v>
      </c>
      <c r="G41" s="2">
        <v>1.0</v>
      </c>
      <c r="H41" s="2">
        <v>1.0</v>
      </c>
      <c r="I41" s="5" t="s">
        <v>370</v>
      </c>
      <c r="J41" s="5" t="str">
        <f>IFERROR(__xludf.DUMMYFUNCTION("""COMPUTED_VALUE"""),"https://drive.google.com/thumbnail?id=101Y4OOnUcRW0qAA_qgZImXxL0cPSJBkv&amp;sz=s1000")</f>
        <v>https://drive.google.com/thumbnail?id=101Y4OOnUcRW0qAA_qgZImXxL0cPSJBkv&amp;sz=s1000</v>
      </c>
      <c r="K41" s="6" t="s">
        <v>371</v>
      </c>
      <c r="L41" s="6"/>
      <c r="M41" s="2" t="s">
        <v>139</v>
      </c>
      <c r="O41" s="7" t="s">
        <v>372</v>
      </c>
    </row>
    <row r="42">
      <c r="A42" s="2">
        <v>41.0</v>
      </c>
      <c r="B42" s="2" t="s">
        <v>373</v>
      </c>
      <c r="C42" s="2" t="s">
        <v>28</v>
      </c>
      <c r="D42" s="2" t="s">
        <v>47</v>
      </c>
      <c r="E42" s="2" t="s">
        <v>68</v>
      </c>
      <c r="F42" s="2">
        <v>2.0</v>
      </c>
      <c r="G42" s="2">
        <v>1.0</v>
      </c>
      <c r="H42" s="2">
        <v>1.0</v>
      </c>
      <c r="I42" s="5" t="s">
        <v>374</v>
      </c>
      <c r="J42" s="5" t="str">
        <f>IFERROR(__xludf.DUMMYFUNCTION("""COMPUTED_VALUE"""),"https://drive.google.com/thumbnail?id=1-l4tHq_J93urIqMKPo8OZBwKCHcLpEa_&amp;sz=s1000")</f>
        <v>https://drive.google.com/thumbnail?id=1-l4tHq_J93urIqMKPo8OZBwKCHcLpEa_&amp;sz=s1000</v>
      </c>
      <c r="K42" s="6" t="s">
        <v>375</v>
      </c>
      <c r="L42" s="6"/>
      <c r="M42" s="2" t="s">
        <v>139</v>
      </c>
      <c r="O42" s="7" t="s">
        <v>376</v>
      </c>
    </row>
    <row r="43">
      <c r="A43" s="2">
        <v>42.0</v>
      </c>
      <c r="B43" s="2" t="s">
        <v>377</v>
      </c>
      <c r="C43" s="2" t="s">
        <v>28</v>
      </c>
      <c r="D43" s="2" t="s">
        <v>47</v>
      </c>
      <c r="E43" s="2" t="s">
        <v>77</v>
      </c>
      <c r="F43" s="2">
        <v>3.0</v>
      </c>
      <c r="G43" s="2">
        <v>1.0</v>
      </c>
      <c r="H43" s="2">
        <v>1.0</v>
      </c>
      <c r="I43" s="5" t="s">
        <v>378</v>
      </c>
      <c r="J43" s="5" t="str">
        <f>IFERROR(__xludf.DUMMYFUNCTION("""COMPUTED_VALUE"""),"https://drive.google.com/thumbnail?id=1-9XzdzDvlLqfX_dXsYdr4VUwBI1LnHa2&amp;sz=s1000")</f>
        <v>https://drive.google.com/thumbnail?id=1-9XzdzDvlLqfX_dXsYdr4VUwBI1LnHa2&amp;sz=s1000</v>
      </c>
      <c r="K43" s="6" t="s">
        <v>379</v>
      </c>
      <c r="L43" s="6"/>
      <c r="M43" s="2" t="s">
        <v>139</v>
      </c>
      <c r="O43" s="7" t="s">
        <v>380</v>
      </c>
    </row>
    <row r="44">
      <c r="A44" s="2">
        <v>43.0</v>
      </c>
      <c r="B44" s="2" t="s">
        <v>381</v>
      </c>
      <c r="C44" s="2" t="s">
        <v>28</v>
      </c>
      <c r="D44" s="2" t="s">
        <v>47</v>
      </c>
      <c r="E44" s="2" t="s">
        <v>77</v>
      </c>
      <c r="F44" s="2">
        <v>3.0</v>
      </c>
      <c r="G44" s="2">
        <v>1.0</v>
      </c>
      <c r="H44" s="2">
        <v>1.0</v>
      </c>
      <c r="I44" s="5" t="s">
        <v>382</v>
      </c>
      <c r="J44" s="5" t="str">
        <f>IFERROR(__xludf.DUMMYFUNCTION("""COMPUTED_VALUE"""),"https://drive.google.com/thumbnail?id=15A86c9ZuQ9hJS97HGTQt_onYlljGGKI3&amp;sz=s1000")</f>
        <v>https://drive.google.com/thumbnail?id=15A86c9ZuQ9hJS97HGTQt_onYlljGGKI3&amp;sz=s1000</v>
      </c>
      <c r="K44" s="6" t="s">
        <v>383</v>
      </c>
      <c r="L44" s="6"/>
      <c r="M44" s="2" t="s">
        <v>139</v>
      </c>
      <c r="O44" s="7" t="s">
        <v>384</v>
      </c>
    </row>
    <row r="45">
      <c r="A45" s="2">
        <v>44.0</v>
      </c>
      <c r="B45" s="2" t="s">
        <v>385</v>
      </c>
      <c r="C45" s="2" t="s">
        <v>28</v>
      </c>
      <c r="D45" s="2" t="s">
        <v>47</v>
      </c>
      <c r="E45" s="2" t="s">
        <v>77</v>
      </c>
      <c r="F45" s="2">
        <v>3.0</v>
      </c>
      <c r="G45" s="2">
        <v>1.0</v>
      </c>
      <c r="H45" s="2">
        <v>1.0</v>
      </c>
      <c r="I45" s="5" t="s">
        <v>386</v>
      </c>
      <c r="J45" s="5" t="str">
        <f>IFERROR(__xludf.DUMMYFUNCTION("""COMPUTED_VALUE"""),"https://drive.google.com/thumbnail?id=139QtWJt8IIl-Ren9bCuWfFG5rwtMckfh&amp;sz=s1000")</f>
        <v>https://drive.google.com/thumbnail?id=139QtWJt8IIl-Ren9bCuWfFG5rwtMckfh&amp;sz=s1000</v>
      </c>
      <c r="K45" s="6" t="s">
        <v>387</v>
      </c>
      <c r="L45" s="6"/>
      <c r="M45" s="2" t="s">
        <v>139</v>
      </c>
      <c r="O45" s="7" t="s">
        <v>388</v>
      </c>
    </row>
    <row r="46">
      <c r="A46" s="2">
        <v>45.0</v>
      </c>
      <c r="B46" s="2" t="s">
        <v>389</v>
      </c>
      <c r="C46" s="2" t="s">
        <v>12</v>
      </c>
      <c r="D46" s="2" t="s">
        <v>70</v>
      </c>
      <c r="E46" s="2" t="s">
        <v>88</v>
      </c>
      <c r="F46" s="2">
        <v>3.0</v>
      </c>
      <c r="G46" s="2">
        <v>1.0</v>
      </c>
      <c r="H46" s="2">
        <v>1.0</v>
      </c>
      <c r="I46" s="5" t="s">
        <v>390</v>
      </c>
      <c r="J46" s="5" t="str">
        <f>IFERROR(__xludf.DUMMYFUNCTION("""COMPUTED_VALUE"""),"https://drive.google.com/thumbnail?id=1-gjEvKKyS57YgR3-Rhz8dPviPBsBKP7A&amp;sz=s1000")</f>
        <v>https://drive.google.com/thumbnail?id=1-gjEvKKyS57YgR3-Rhz8dPviPBsBKP7A&amp;sz=s1000</v>
      </c>
      <c r="K46" s="6" t="s">
        <v>391</v>
      </c>
      <c r="L46" s="6"/>
      <c r="M46" s="2" t="s">
        <v>139</v>
      </c>
      <c r="O46" s="7" t="s">
        <v>392</v>
      </c>
    </row>
    <row r="47">
      <c r="A47" s="2">
        <v>46.0</v>
      </c>
      <c r="B47" s="2" t="s">
        <v>393</v>
      </c>
      <c r="C47" s="2" t="s">
        <v>12</v>
      </c>
      <c r="D47" s="2" t="s">
        <v>75</v>
      </c>
      <c r="E47" s="2" t="s">
        <v>89</v>
      </c>
      <c r="F47" s="2">
        <v>3.0</v>
      </c>
      <c r="G47" s="2">
        <v>1.0</v>
      </c>
      <c r="H47" s="2">
        <v>1.0</v>
      </c>
      <c r="I47" s="5" t="s">
        <v>394</v>
      </c>
      <c r="J47" s="5" t="str">
        <f>IFERROR(__xludf.DUMMYFUNCTION("""COMPUTED_VALUE"""),"https://drive.google.com/thumbnail?id=11BkHKmsBryp6dOKe1dEV1NvCZ7QEIVDz&amp;sz=s1000")</f>
        <v>https://drive.google.com/thumbnail?id=11BkHKmsBryp6dOKe1dEV1NvCZ7QEIVDz&amp;sz=s1000</v>
      </c>
      <c r="K47" s="6" t="s">
        <v>395</v>
      </c>
      <c r="L47" s="6"/>
      <c r="M47" s="2" t="s">
        <v>139</v>
      </c>
      <c r="O47" s="7" t="s">
        <v>396</v>
      </c>
    </row>
    <row r="48">
      <c r="A48" s="2">
        <v>47.0</v>
      </c>
      <c r="B48" s="2" t="s">
        <v>397</v>
      </c>
      <c r="C48" s="2" t="s">
        <v>12</v>
      </c>
      <c r="D48" s="2" t="s">
        <v>47</v>
      </c>
      <c r="E48" s="2" t="s">
        <v>92</v>
      </c>
      <c r="F48" s="2">
        <v>3.0</v>
      </c>
      <c r="G48" s="2">
        <v>1.0</v>
      </c>
      <c r="H48" s="2">
        <v>1.0</v>
      </c>
      <c r="I48" s="5" t="s">
        <v>398</v>
      </c>
      <c r="J48" s="5" t="str">
        <f>IFERROR(__xludf.DUMMYFUNCTION("""COMPUTED_VALUE"""),"https://drive.google.com/thumbnail?id=1-Umn8YSFuAoEUsMx9TEkGHLZqPm3bT9s&amp;sz=s1000")</f>
        <v>https://drive.google.com/thumbnail?id=1-Umn8YSFuAoEUsMx9TEkGHLZqPm3bT9s&amp;sz=s1000</v>
      </c>
      <c r="K48" s="6" t="s">
        <v>399</v>
      </c>
      <c r="L48" s="6"/>
      <c r="M48" s="2" t="s">
        <v>139</v>
      </c>
      <c r="O48" s="7" t="s">
        <v>400</v>
      </c>
    </row>
    <row r="49">
      <c r="A49" s="2">
        <v>48.0</v>
      </c>
      <c r="B49" s="2" t="s">
        <v>401</v>
      </c>
      <c r="C49" s="2" t="s">
        <v>21</v>
      </c>
      <c r="D49" s="2" t="s">
        <v>70</v>
      </c>
      <c r="E49" s="2" t="s">
        <v>60</v>
      </c>
      <c r="F49" s="2">
        <v>3.0</v>
      </c>
      <c r="G49" s="2">
        <v>1.0</v>
      </c>
      <c r="H49" s="2">
        <v>4.0</v>
      </c>
      <c r="I49" s="5" t="s">
        <v>402</v>
      </c>
      <c r="J49" s="5" t="str">
        <f>IFERROR(__xludf.DUMMYFUNCTION("""COMPUTED_VALUE"""),"https://drive.google.com/thumbnail?id=1-wY4f4-EXGuAg_LSWiHZ5k0iNCy3b2OS&amp;sz=s1000")</f>
        <v>https://drive.google.com/thumbnail?id=1-wY4f4-EXGuAg_LSWiHZ5k0iNCy3b2OS&amp;sz=s1000</v>
      </c>
      <c r="K49" s="6" t="s">
        <v>403</v>
      </c>
      <c r="L49" s="6"/>
      <c r="M49" s="2" t="s">
        <v>139</v>
      </c>
      <c r="O49" s="7" t="s">
        <v>404</v>
      </c>
    </row>
    <row r="50">
      <c r="A50" s="2">
        <v>49.0</v>
      </c>
      <c r="B50" s="2" t="s">
        <v>405</v>
      </c>
      <c r="C50" s="2" t="s">
        <v>21</v>
      </c>
      <c r="D50" s="2" t="s">
        <v>70</v>
      </c>
      <c r="E50" s="2" t="s">
        <v>86</v>
      </c>
      <c r="F50" s="2">
        <v>3.0</v>
      </c>
      <c r="G50" s="2">
        <v>1.0</v>
      </c>
      <c r="H50" s="2">
        <v>4.0</v>
      </c>
      <c r="I50" s="5" t="s">
        <v>406</v>
      </c>
      <c r="J50" s="5" t="str">
        <f>IFERROR(__xludf.DUMMYFUNCTION("""COMPUTED_VALUE"""),"https://drive.google.com/thumbnail?id=12VK5CpfjeLDtekKOCNX0fx3ybv6FjuPr&amp;sz=s1000")</f>
        <v>https://drive.google.com/thumbnail?id=12VK5CpfjeLDtekKOCNX0fx3ybv6FjuPr&amp;sz=s1000</v>
      </c>
      <c r="K50" s="6" t="s">
        <v>407</v>
      </c>
      <c r="L50" s="6"/>
      <c r="M50" s="2" t="s">
        <v>139</v>
      </c>
      <c r="O50" s="7" t="s">
        <v>408</v>
      </c>
    </row>
    <row r="51">
      <c r="A51" s="2">
        <v>50.0</v>
      </c>
      <c r="B51" s="2" t="s">
        <v>409</v>
      </c>
      <c r="C51" s="2" t="s">
        <v>12</v>
      </c>
      <c r="D51" s="2" t="s">
        <v>43</v>
      </c>
      <c r="E51" s="2" t="s">
        <v>86</v>
      </c>
      <c r="F51" s="2">
        <v>3.0</v>
      </c>
      <c r="G51" s="2">
        <v>1.0</v>
      </c>
      <c r="H51" s="2">
        <v>6.0</v>
      </c>
      <c r="I51" s="5" t="s">
        <v>410</v>
      </c>
      <c r="J51" s="5" t="str">
        <f>IFERROR(__xludf.DUMMYFUNCTION("""COMPUTED_VALUE"""),"https://drive.google.com/thumbnail?id=12XSk04HrMLsG9JJFnShPgrCKun4hUt9v&amp;sz=s1000")</f>
        <v>https://drive.google.com/thumbnail?id=12XSk04HrMLsG9JJFnShPgrCKun4hUt9v&amp;sz=s1000</v>
      </c>
      <c r="K51" s="6" t="s">
        <v>411</v>
      </c>
      <c r="L51" s="6"/>
      <c r="M51" s="2" t="s">
        <v>139</v>
      </c>
      <c r="O51" s="7" t="s">
        <v>412</v>
      </c>
    </row>
    <row r="52">
      <c r="A52" s="2">
        <v>51.0</v>
      </c>
      <c r="B52" s="2" t="s">
        <v>413</v>
      </c>
      <c r="C52" s="2" t="s">
        <v>32</v>
      </c>
      <c r="D52" s="2" t="s">
        <v>66</v>
      </c>
      <c r="E52" s="2" t="s">
        <v>79</v>
      </c>
      <c r="F52" s="2">
        <v>3.0</v>
      </c>
      <c r="G52" s="2">
        <v>1.0</v>
      </c>
      <c r="H52" s="2">
        <v>14.0</v>
      </c>
      <c r="I52" s="5" t="s">
        <v>414</v>
      </c>
      <c r="J52" s="5" t="str">
        <f>IFERROR(__xludf.DUMMYFUNCTION("""COMPUTED_VALUE"""),"https://drive.google.com/thumbnail?id=12IEcrndGtkHAVNP5_k6TmaO4dhsTCyKk&amp;sz=s1000")</f>
        <v>https://drive.google.com/thumbnail?id=12IEcrndGtkHAVNP5_k6TmaO4dhsTCyKk&amp;sz=s1000</v>
      </c>
      <c r="K52" s="6" t="s">
        <v>415</v>
      </c>
      <c r="L52" s="6"/>
      <c r="M52" s="2" t="s">
        <v>139</v>
      </c>
      <c r="O52" s="7" t="s">
        <v>416</v>
      </c>
    </row>
    <row r="53">
      <c r="A53" s="2">
        <v>52.0</v>
      </c>
      <c r="B53" s="2" t="s">
        <v>417</v>
      </c>
      <c r="C53" s="2" t="s">
        <v>19</v>
      </c>
      <c r="D53" s="2" t="s">
        <v>70</v>
      </c>
      <c r="E53" s="2" t="s">
        <v>49</v>
      </c>
      <c r="F53" s="2">
        <v>3.0</v>
      </c>
      <c r="G53" s="2">
        <v>1.0</v>
      </c>
      <c r="H53" s="2">
        <v>4.0</v>
      </c>
      <c r="I53" s="5" t="s">
        <v>418</v>
      </c>
      <c r="J53" s="5" t="str">
        <f>IFERROR(__xludf.DUMMYFUNCTION("""COMPUTED_VALUE"""),"https://drive.google.com/thumbnail?id=137wtoZ-sWLYEvfQG2oSlDwU2GRmTVc_s&amp;sz=s1000")</f>
        <v>https://drive.google.com/thumbnail?id=137wtoZ-sWLYEvfQG2oSlDwU2GRmTVc_s&amp;sz=s1000</v>
      </c>
      <c r="K53" s="6" t="s">
        <v>419</v>
      </c>
      <c r="L53" s="6"/>
      <c r="M53" s="2" t="s">
        <v>139</v>
      </c>
      <c r="O53" s="7" t="s">
        <v>420</v>
      </c>
    </row>
    <row r="54">
      <c r="A54" s="2">
        <v>53.0</v>
      </c>
      <c r="B54" s="2" t="s">
        <v>421</v>
      </c>
      <c r="C54" s="2" t="s">
        <v>12</v>
      </c>
      <c r="D54" s="2" t="s">
        <v>70</v>
      </c>
      <c r="E54" s="2" t="s">
        <v>49</v>
      </c>
      <c r="F54" s="2">
        <v>4.0</v>
      </c>
      <c r="G54" s="2">
        <v>1.0</v>
      </c>
      <c r="H54" s="2">
        <v>4.0</v>
      </c>
      <c r="I54" s="5" t="s">
        <v>422</v>
      </c>
      <c r="J54" s="5" t="str">
        <f>IFERROR(__xludf.DUMMYFUNCTION("""COMPUTED_VALUE"""),"https://drive.google.com/thumbnail?id=15EnVZrBverlaSeFavTOo7PVCpOrF_W9M&amp;sz=s1000")</f>
        <v>https://drive.google.com/thumbnail?id=15EnVZrBverlaSeFavTOo7PVCpOrF_W9M&amp;sz=s1000</v>
      </c>
      <c r="K54" s="6" t="s">
        <v>423</v>
      </c>
      <c r="L54" s="6"/>
      <c r="M54" s="2" t="s">
        <v>139</v>
      </c>
      <c r="O54" s="7" t="s">
        <v>424</v>
      </c>
    </row>
    <row r="55">
      <c r="A55" s="2">
        <v>54.0</v>
      </c>
      <c r="B55" s="2" t="s">
        <v>425</v>
      </c>
      <c r="C55" s="2" t="s">
        <v>28</v>
      </c>
      <c r="D55" s="2" t="s">
        <v>47</v>
      </c>
      <c r="E55" s="2" t="s">
        <v>68</v>
      </c>
      <c r="F55" s="2">
        <v>4.0</v>
      </c>
      <c r="G55" s="2">
        <v>2.0</v>
      </c>
      <c r="H55" s="2">
        <v>4.0</v>
      </c>
      <c r="I55" s="5" t="s">
        <v>426</v>
      </c>
      <c r="J55" s="5" t="str">
        <f>IFERROR(__xludf.DUMMYFUNCTION("""COMPUTED_VALUE"""),"https://drive.google.com/thumbnail?id=13nEL0nG4RssBKEaa6S76e0ePIzPSp3Vc&amp;sz=s1000")</f>
        <v>https://drive.google.com/thumbnail?id=13nEL0nG4RssBKEaa6S76e0ePIzPSp3Vc&amp;sz=s1000</v>
      </c>
      <c r="K55" s="6" t="s">
        <v>427</v>
      </c>
      <c r="L55" s="6"/>
      <c r="M55" s="2" t="s">
        <v>139</v>
      </c>
      <c r="O55" s="7" t="s">
        <v>428</v>
      </c>
    </row>
    <row r="56">
      <c r="A56" s="2">
        <v>55.0</v>
      </c>
      <c r="B56" s="2" t="s">
        <v>429</v>
      </c>
      <c r="C56" s="2" t="s">
        <v>19</v>
      </c>
      <c r="D56" s="2" t="s">
        <v>53</v>
      </c>
      <c r="E56" s="2" t="s">
        <v>68</v>
      </c>
      <c r="F56" s="2">
        <v>2.0</v>
      </c>
      <c r="G56" s="2">
        <v>1.0</v>
      </c>
      <c r="H56" s="2">
        <v>4.0</v>
      </c>
      <c r="I56" s="5" t="s">
        <v>430</v>
      </c>
      <c r="J56" s="5" t="str">
        <f>IFERROR(__xludf.DUMMYFUNCTION("""COMPUTED_VALUE"""),"https://drive.google.com/thumbnail?id=14-eZM420wj56EIPPCvLwiasER7PZBbyO&amp;sz=s1000")</f>
        <v>https://drive.google.com/thumbnail?id=14-eZM420wj56EIPPCvLwiasER7PZBbyO&amp;sz=s1000</v>
      </c>
      <c r="K56" s="6" t="s">
        <v>431</v>
      </c>
      <c r="L56" s="6"/>
      <c r="M56" s="2" t="s">
        <v>139</v>
      </c>
      <c r="O56" s="7" t="s">
        <v>432</v>
      </c>
    </row>
    <row r="57">
      <c r="A57" s="2">
        <v>56.0</v>
      </c>
      <c r="B57" s="2" t="s">
        <v>433</v>
      </c>
      <c r="C57" s="2" t="s">
        <v>21</v>
      </c>
      <c r="D57" s="2" t="s">
        <v>53</v>
      </c>
      <c r="E57" s="2" t="s">
        <v>79</v>
      </c>
      <c r="F57" s="2">
        <v>3.0</v>
      </c>
      <c r="G57" s="2">
        <v>1.0</v>
      </c>
      <c r="H57" s="2">
        <v>4.0</v>
      </c>
      <c r="I57" s="5" t="s">
        <v>434</v>
      </c>
      <c r="J57" s="5" t="str">
        <f>IFERROR(__xludf.DUMMYFUNCTION("""COMPUTED_VALUE"""),"https://drive.google.com/thumbnail?id=15G1r4LIe8kfAg4FMszQI69Bqi2vgAf7u&amp;sz=s1000")</f>
        <v>https://drive.google.com/thumbnail?id=15G1r4LIe8kfAg4FMszQI69Bqi2vgAf7u&amp;sz=s1000</v>
      </c>
      <c r="K57" s="6" t="s">
        <v>435</v>
      </c>
      <c r="L57" s="6"/>
      <c r="M57" s="2" t="s">
        <v>139</v>
      </c>
      <c r="O57" s="7" t="s">
        <v>436</v>
      </c>
    </row>
    <row r="58">
      <c r="A58" s="2">
        <v>57.0</v>
      </c>
      <c r="B58" s="2" t="s">
        <v>437</v>
      </c>
      <c r="C58" s="2" t="s">
        <v>21</v>
      </c>
      <c r="D58" s="2" t="s">
        <v>57</v>
      </c>
      <c r="E58" s="2" t="s">
        <v>94</v>
      </c>
      <c r="F58" s="2">
        <v>2.0</v>
      </c>
      <c r="G58" s="2">
        <v>1.0</v>
      </c>
      <c r="H58" s="2">
        <v>4.0</v>
      </c>
      <c r="I58" s="5" t="s">
        <v>438</v>
      </c>
      <c r="J58" s="5" t="str">
        <f>IFERROR(__xludf.DUMMYFUNCTION("""COMPUTED_VALUE"""),"https://drive.google.com/thumbnail?id=140CmlHvJbQkxLrJhWqRSXVQxHEdFj5bt&amp;sz=s1000")</f>
        <v>https://drive.google.com/thumbnail?id=140CmlHvJbQkxLrJhWqRSXVQxHEdFj5bt&amp;sz=s1000</v>
      </c>
      <c r="K58" s="6" t="s">
        <v>439</v>
      </c>
      <c r="L58" s="6"/>
      <c r="M58" s="2" t="s">
        <v>139</v>
      </c>
      <c r="O58" s="7" t="s">
        <v>440</v>
      </c>
    </row>
    <row r="59">
      <c r="A59" s="2">
        <v>58.0</v>
      </c>
      <c r="B59" s="2" t="s">
        <v>441</v>
      </c>
      <c r="C59" s="2" t="s">
        <v>24</v>
      </c>
      <c r="D59" s="2" t="s">
        <v>47</v>
      </c>
      <c r="E59" s="2" t="s">
        <v>88</v>
      </c>
      <c r="F59" s="2">
        <v>2.0</v>
      </c>
      <c r="G59" s="2">
        <v>1.0</v>
      </c>
      <c r="H59" s="2">
        <v>1.0</v>
      </c>
      <c r="I59" s="5" t="s">
        <v>442</v>
      </c>
      <c r="J59" s="5" t="str">
        <f>IFERROR(__xludf.DUMMYFUNCTION("""COMPUTED_VALUE"""),"https://drive.google.com/thumbnail?id=15Bhg5dLFJp5Z0uC8xS0nfAn8yFUovO8W&amp;sz=s1000")</f>
        <v>https://drive.google.com/thumbnail?id=15Bhg5dLFJp5Z0uC8xS0nfAn8yFUovO8W&amp;sz=s1000</v>
      </c>
      <c r="K59" s="6" t="s">
        <v>443</v>
      </c>
      <c r="L59" s="6"/>
      <c r="M59" s="2" t="s">
        <v>139</v>
      </c>
      <c r="O59" s="7" t="s">
        <v>444</v>
      </c>
    </row>
    <row r="60">
      <c r="A60" s="2">
        <v>59.0</v>
      </c>
      <c r="B60" s="2" t="s">
        <v>445</v>
      </c>
      <c r="C60" s="2" t="s">
        <v>12</v>
      </c>
      <c r="D60" s="2" t="s">
        <v>75</v>
      </c>
      <c r="E60" s="2" t="s">
        <v>88</v>
      </c>
      <c r="F60" s="2">
        <v>4.0</v>
      </c>
      <c r="G60" s="2">
        <v>2.0</v>
      </c>
      <c r="H60" s="2">
        <v>4.0</v>
      </c>
      <c r="I60" s="5" t="s">
        <v>446</v>
      </c>
      <c r="J60" s="5" t="str">
        <f>IFERROR(__xludf.DUMMYFUNCTION("""COMPUTED_VALUE"""),"https://drive.google.com/thumbnail?id=13pvURNGsii5Bymh92TYWlvgO5umaJKZC&amp;sz=s1000")</f>
        <v>https://drive.google.com/thumbnail?id=13pvURNGsii5Bymh92TYWlvgO5umaJKZC&amp;sz=s1000</v>
      </c>
      <c r="K60" s="6" t="s">
        <v>447</v>
      </c>
      <c r="L60" s="6"/>
      <c r="M60" s="2" t="s">
        <v>139</v>
      </c>
      <c r="O60" s="7" t="s">
        <v>448</v>
      </c>
    </row>
    <row r="61">
      <c r="A61" s="2">
        <v>60.0</v>
      </c>
      <c r="B61" s="2" t="s">
        <v>449</v>
      </c>
      <c r="C61" s="2" t="s">
        <v>12</v>
      </c>
      <c r="D61" s="2" t="s">
        <v>43</v>
      </c>
      <c r="E61" s="2" t="s">
        <v>73</v>
      </c>
      <c r="F61" s="2">
        <v>3.0</v>
      </c>
      <c r="G61" s="2">
        <v>1.0</v>
      </c>
      <c r="H61" s="2">
        <v>6.0</v>
      </c>
      <c r="I61" s="5" t="s">
        <v>450</v>
      </c>
      <c r="J61" s="5" t="str">
        <f>IFERROR(__xludf.DUMMYFUNCTION("""COMPUTED_VALUE"""),"https://drive.google.com/thumbnail?id=145OfQsXje0atGbtGmjruejYTfEVPopHJ&amp;sz=s1000")</f>
        <v>https://drive.google.com/thumbnail?id=145OfQsXje0atGbtGmjruejYTfEVPopHJ&amp;sz=s1000</v>
      </c>
      <c r="K61" s="6" t="s">
        <v>451</v>
      </c>
      <c r="L61" s="6"/>
      <c r="M61" s="2" t="s">
        <v>139</v>
      </c>
      <c r="O61" s="7" t="s">
        <v>452</v>
      </c>
    </row>
    <row r="62">
      <c r="A62" s="2">
        <v>61.0</v>
      </c>
      <c r="B62" s="2" t="s">
        <v>453</v>
      </c>
      <c r="C62" s="2" t="s">
        <v>12</v>
      </c>
      <c r="D62" s="2" t="s">
        <v>43</v>
      </c>
      <c r="E62" s="2" t="s">
        <v>68</v>
      </c>
      <c r="F62" s="2">
        <v>5.0</v>
      </c>
      <c r="G62" s="2">
        <v>2.0</v>
      </c>
      <c r="H62" s="2">
        <v>4.0</v>
      </c>
      <c r="I62" s="5" t="s">
        <v>454</v>
      </c>
      <c r="J62" s="5" t="str">
        <f>IFERROR(__xludf.DUMMYFUNCTION("""COMPUTED_VALUE"""),"https://drive.google.com/thumbnail?id=13oRYX43GNDVmOLdjvku46DVLp_n4r9Ln&amp;sz=s1000")</f>
        <v>https://drive.google.com/thumbnail?id=13oRYX43GNDVmOLdjvku46DVLp_n4r9Ln&amp;sz=s1000</v>
      </c>
      <c r="K62" s="6" t="s">
        <v>455</v>
      </c>
      <c r="L62" s="6"/>
      <c r="M62" s="2" t="s">
        <v>139</v>
      </c>
      <c r="O62" s="7" t="s">
        <v>456</v>
      </c>
    </row>
    <row r="63">
      <c r="A63" s="2">
        <v>62.0</v>
      </c>
      <c r="B63" s="2" t="s">
        <v>457</v>
      </c>
      <c r="C63" s="2" t="s">
        <v>24</v>
      </c>
      <c r="D63" s="2" t="s">
        <v>84</v>
      </c>
      <c r="E63" s="2" t="s">
        <v>24</v>
      </c>
      <c r="F63" s="2">
        <v>3.0</v>
      </c>
      <c r="G63" s="2">
        <v>1.0</v>
      </c>
      <c r="H63" s="2">
        <v>4.0</v>
      </c>
      <c r="I63" s="5" t="s">
        <v>458</v>
      </c>
      <c r="J63" s="5" t="str">
        <f>IFERROR(__xludf.DUMMYFUNCTION("""COMPUTED_VALUE"""),"https://drive.google.com/thumbnail?id=14R1oSPOkUNRU-hKguYDhmzArj0tuhFV7&amp;sz=s1000")</f>
        <v>https://drive.google.com/thumbnail?id=14R1oSPOkUNRU-hKguYDhmzArj0tuhFV7&amp;sz=s1000</v>
      </c>
      <c r="K63" s="6" t="s">
        <v>459</v>
      </c>
      <c r="L63" s="6"/>
      <c r="M63" s="2" t="s">
        <v>139</v>
      </c>
      <c r="O63" s="7" t="s">
        <v>460</v>
      </c>
    </row>
    <row r="64">
      <c r="A64" s="2">
        <v>63.0</v>
      </c>
      <c r="B64" s="2" t="s">
        <v>461</v>
      </c>
      <c r="C64" s="2" t="s">
        <v>12</v>
      </c>
      <c r="D64" s="2" t="s">
        <v>47</v>
      </c>
      <c r="E64" s="2" t="s">
        <v>88</v>
      </c>
      <c r="F64" s="2">
        <v>6.0</v>
      </c>
      <c r="G64" s="2">
        <v>1.0</v>
      </c>
      <c r="H64" s="2">
        <v>1.0</v>
      </c>
      <c r="I64" s="5" t="s">
        <v>462</v>
      </c>
      <c r="J64" s="5" t="str">
        <f>IFERROR(__xludf.DUMMYFUNCTION("""COMPUTED_VALUE"""),"https://drive.google.com/thumbnail?id=15ACSN8DTo9vMjC9tzDu2_y6lnFzfh-KE&amp;sz=s1000")</f>
        <v>https://drive.google.com/thumbnail?id=15ACSN8DTo9vMjC9tzDu2_y6lnFzfh-KE&amp;sz=s1000</v>
      </c>
      <c r="K64" s="6" t="s">
        <v>463</v>
      </c>
      <c r="L64" s="6"/>
      <c r="M64" s="2" t="s">
        <v>139</v>
      </c>
      <c r="O64" s="7" t="s">
        <v>464</v>
      </c>
    </row>
    <row r="65">
      <c r="A65" s="2">
        <v>64.0</v>
      </c>
      <c r="B65" s="2" t="s">
        <v>465</v>
      </c>
      <c r="C65" s="2" t="s">
        <v>12</v>
      </c>
      <c r="D65" s="2" t="s">
        <v>47</v>
      </c>
      <c r="E65" s="2" t="s">
        <v>88</v>
      </c>
      <c r="F65" s="2">
        <v>8.0</v>
      </c>
      <c r="G65" s="2">
        <v>1.0</v>
      </c>
      <c r="H65" s="2">
        <v>1.0</v>
      </c>
      <c r="I65" s="5" t="s">
        <v>466</v>
      </c>
      <c r="J65" s="5" t="str">
        <f>IFERROR(__xludf.DUMMYFUNCTION("""COMPUTED_VALUE"""),"https://drive.google.com/thumbnail?id=14oFw8Hv-ywLSRrmYPVnM69mgcAn3nhBy&amp;sz=s1000")</f>
        <v>https://drive.google.com/thumbnail?id=14oFw8Hv-ywLSRrmYPVnM69mgcAn3nhBy&amp;sz=s1000</v>
      </c>
      <c r="K65" s="6" t="s">
        <v>467</v>
      </c>
      <c r="L65" s="6"/>
      <c r="M65" s="2" t="s">
        <v>139</v>
      </c>
      <c r="O65" s="7" t="s">
        <v>468</v>
      </c>
    </row>
    <row r="66">
      <c r="A66" s="2">
        <v>65.0</v>
      </c>
      <c r="B66" s="2" t="s">
        <v>469</v>
      </c>
      <c r="C66" s="2" t="s">
        <v>21</v>
      </c>
      <c r="D66" s="2" t="s">
        <v>47</v>
      </c>
      <c r="E66" s="2" t="s">
        <v>64</v>
      </c>
      <c r="F66" s="2">
        <v>6.0</v>
      </c>
      <c r="G66" s="2">
        <v>1.0</v>
      </c>
      <c r="H66" s="2">
        <v>2.0</v>
      </c>
      <c r="I66" s="5" t="s">
        <v>470</v>
      </c>
      <c r="J66" s="5" t="str">
        <f>IFERROR(__xludf.DUMMYFUNCTION("""COMPUTED_VALUE"""),"https://drive.google.com/thumbnail?id=13z8YlWmOIh88QZnBxfmrOtuv3G6e-RGq&amp;sz=s1000")</f>
        <v>https://drive.google.com/thumbnail?id=13z8YlWmOIh88QZnBxfmrOtuv3G6e-RGq&amp;sz=s1000</v>
      </c>
      <c r="K66" s="6" t="s">
        <v>471</v>
      </c>
      <c r="L66" s="6"/>
      <c r="M66" s="2" t="s">
        <v>139</v>
      </c>
      <c r="O66" s="7" t="s">
        <v>472</v>
      </c>
    </row>
    <row r="67">
      <c r="A67" s="2">
        <v>66.0</v>
      </c>
      <c r="B67" s="2" t="s">
        <v>473</v>
      </c>
      <c r="C67" s="2" t="s">
        <v>19</v>
      </c>
      <c r="D67" s="2" t="s">
        <v>47</v>
      </c>
      <c r="E67" s="2" t="s">
        <v>88</v>
      </c>
      <c r="F67" s="2">
        <v>3.0</v>
      </c>
      <c r="G67" s="2">
        <v>1.0</v>
      </c>
      <c r="H67" s="2">
        <v>3.0</v>
      </c>
      <c r="I67" s="5" t="s">
        <v>474</v>
      </c>
      <c r="J67" s="5" t="str">
        <f>IFERROR(__xludf.DUMMYFUNCTION("""COMPUTED_VALUE"""),"https://drive.google.com/thumbnail?id=14P8HxbkRJDYzWmIMwoFE_tXPIHQ57GBn&amp;sz=s1000")</f>
        <v>https://drive.google.com/thumbnail?id=14P8HxbkRJDYzWmIMwoFE_tXPIHQ57GBn&amp;sz=s1000</v>
      </c>
      <c r="K67" s="6" t="s">
        <v>475</v>
      </c>
      <c r="L67" s="6"/>
      <c r="M67" s="2" t="s">
        <v>139</v>
      </c>
      <c r="O67" s="7" t="s">
        <v>476</v>
      </c>
    </row>
    <row r="68">
      <c r="A68" s="2">
        <v>67.0</v>
      </c>
      <c r="B68" s="2" t="s">
        <v>477</v>
      </c>
      <c r="C68" s="2" t="s">
        <v>12</v>
      </c>
      <c r="D68" s="2" t="s">
        <v>47</v>
      </c>
      <c r="E68" s="2" t="s">
        <v>88</v>
      </c>
      <c r="F68" s="2">
        <v>3.0</v>
      </c>
      <c r="G68" s="2">
        <v>1.0</v>
      </c>
      <c r="H68" s="2">
        <v>1.0</v>
      </c>
      <c r="I68" s="5" t="s">
        <v>478</v>
      </c>
      <c r="J68" s="5" t="str">
        <f>IFERROR(__xludf.DUMMYFUNCTION("""COMPUTED_VALUE"""),"https://drive.google.com/thumbnail?id=14aRUIKappAqUeCIPJafYtP2dcUHTDvbh&amp;sz=s1000")</f>
        <v>https://drive.google.com/thumbnail?id=14aRUIKappAqUeCIPJafYtP2dcUHTDvbh&amp;sz=s1000</v>
      </c>
      <c r="K68" s="6" t="s">
        <v>479</v>
      </c>
      <c r="L68" s="6"/>
      <c r="M68" s="2" t="s">
        <v>139</v>
      </c>
      <c r="O68" s="7" t="s">
        <v>480</v>
      </c>
    </row>
    <row r="69">
      <c r="A69" s="2">
        <v>68.0</v>
      </c>
      <c r="B69" s="2" t="s">
        <v>481</v>
      </c>
      <c r="C69" s="2" t="s">
        <v>12</v>
      </c>
      <c r="D69" s="2" t="s">
        <v>41</v>
      </c>
      <c r="E69" s="2" t="s">
        <v>88</v>
      </c>
      <c r="F69" s="2">
        <v>3.0</v>
      </c>
      <c r="G69" s="2">
        <v>1.0</v>
      </c>
      <c r="H69" s="2">
        <v>6.0</v>
      </c>
      <c r="I69" s="5" t="s">
        <v>482</v>
      </c>
      <c r="J69" s="5" t="str">
        <f>IFERROR(__xludf.DUMMYFUNCTION("""COMPUTED_VALUE"""),"https://drive.google.com/thumbnail?id=13vsZFBlj36FEFyd1djE_yZAPiO3LCpe6&amp;sz=s1000")</f>
        <v>https://drive.google.com/thumbnail?id=13vsZFBlj36FEFyd1djE_yZAPiO3LCpe6&amp;sz=s1000</v>
      </c>
      <c r="K69" s="6" t="s">
        <v>483</v>
      </c>
      <c r="L69" s="6"/>
      <c r="M69" s="2" t="s">
        <v>139</v>
      </c>
      <c r="O69" s="7" t="s">
        <v>484</v>
      </c>
    </row>
    <row r="70">
      <c r="A70" s="2">
        <v>69.0</v>
      </c>
      <c r="B70" s="2" t="s">
        <v>485</v>
      </c>
      <c r="C70" s="2" t="s">
        <v>12</v>
      </c>
      <c r="D70" s="2" t="s">
        <v>41</v>
      </c>
      <c r="E70" s="2" t="s">
        <v>88</v>
      </c>
      <c r="F70" s="2">
        <v>3.0</v>
      </c>
      <c r="G70" s="2">
        <v>1.0</v>
      </c>
      <c r="H70" s="2">
        <v>5.0</v>
      </c>
      <c r="I70" s="5" t="s">
        <v>486</v>
      </c>
      <c r="J70" s="5" t="str">
        <f>IFERROR(__xludf.DUMMYFUNCTION("""COMPUTED_VALUE"""),"https://drive.google.com/thumbnail?id=13SYPslj9r91mEYh1jfGJF2sUAlOXRdn8&amp;sz=s1000")</f>
        <v>https://drive.google.com/thumbnail?id=13SYPslj9r91mEYh1jfGJF2sUAlOXRdn8&amp;sz=s1000</v>
      </c>
      <c r="K70" s="6" t="s">
        <v>487</v>
      </c>
      <c r="L70" s="6"/>
      <c r="M70" s="2" t="s">
        <v>139</v>
      </c>
      <c r="O70" s="7" t="s">
        <v>488</v>
      </c>
    </row>
    <row r="71">
      <c r="A71" s="2">
        <v>70.0</v>
      </c>
      <c r="B71" s="2" t="s">
        <v>489</v>
      </c>
      <c r="C71" s="2" t="s">
        <v>19</v>
      </c>
      <c r="D71" s="2" t="s">
        <v>47</v>
      </c>
      <c r="E71" s="2" t="s">
        <v>95</v>
      </c>
      <c r="F71" s="2">
        <v>2.0</v>
      </c>
      <c r="G71" s="2">
        <v>1.0</v>
      </c>
      <c r="H71" s="2">
        <v>4.0</v>
      </c>
      <c r="I71" s="5" t="s">
        <v>490</v>
      </c>
      <c r="J71" s="5" t="str">
        <f>IFERROR(__xludf.DUMMYFUNCTION("""COMPUTED_VALUE"""),"https://drive.google.com/thumbnail?id=138IGg16xD32FUSuQU49dBxsaVeAAznYf&amp;sz=s1000")</f>
        <v>https://drive.google.com/thumbnail?id=138IGg16xD32FUSuQU49dBxsaVeAAznYf&amp;sz=s1000</v>
      </c>
      <c r="K71" s="6" t="s">
        <v>491</v>
      </c>
      <c r="L71" s="6"/>
      <c r="M71" s="2" t="s">
        <v>139</v>
      </c>
      <c r="O71" s="7" t="s">
        <v>492</v>
      </c>
    </row>
    <row r="72">
      <c r="A72" s="2">
        <v>71.0</v>
      </c>
      <c r="B72" s="2" t="s">
        <v>493</v>
      </c>
      <c r="C72" s="2" t="s">
        <v>19</v>
      </c>
      <c r="D72" s="2" t="s">
        <v>47</v>
      </c>
      <c r="E72" s="2" t="s">
        <v>88</v>
      </c>
      <c r="F72" s="2">
        <v>3.0</v>
      </c>
      <c r="G72" s="2">
        <v>1.0</v>
      </c>
      <c r="H72" s="2">
        <v>4.0</v>
      </c>
      <c r="I72" s="5" t="s">
        <v>494</v>
      </c>
      <c r="J72" s="5" t="str">
        <f>IFERROR(__xludf.DUMMYFUNCTION("""COMPUTED_VALUE"""),"https://drive.google.com/thumbnail?id=149byJnrFSlfg_n_y-VplvDE0BvwVgi80&amp;sz=s1000")</f>
        <v>https://drive.google.com/thumbnail?id=149byJnrFSlfg_n_y-VplvDE0BvwVgi80&amp;sz=s1000</v>
      </c>
      <c r="K72" s="6" t="s">
        <v>495</v>
      </c>
      <c r="L72" s="6"/>
      <c r="M72" s="2" t="s">
        <v>139</v>
      </c>
      <c r="O72" s="7" t="s">
        <v>496</v>
      </c>
    </row>
    <row r="73">
      <c r="A73" s="2">
        <v>72.0</v>
      </c>
      <c r="B73" s="2" t="s">
        <v>497</v>
      </c>
      <c r="C73" s="2" t="s">
        <v>19</v>
      </c>
      <c r="D73" s="2" t="s">
        <v>47</v>
      </c>
      <c r="E73" s="2" t="s">
        <v>77</v>
      </c>
      <c r="F73" s="2">
        <v>2.0</v>
      </c>
      <c r="G73" s="2">
        <v>1.0</v>
      </c>
      <c r="H73" s="2">
        <v>1.0</v>
      </c>
      <c r="I73" s="5" t="s">
        <v>498</v>
      </c>
      <c r="J73" s="5" t="str">
        <f>IFERROR(__xludf.DUMMYFUNCTION("""COMPUTED_VALUE"""),"https://drive.google.com/thumbnail?id=13HfBlTxxw8v5WEWil2HllBo60ZTcL1qk&amp;sz=s1000")</f>
        <v>https://drive.google.com/thumbnail?id=13HfBlTxxw8v5WEWil2HllBo60ZTcL1qk&amp;sz=s1000</v>
      </c>
      <c r="K73" s="6" t="s">
        <v>499</v>
      </c>
      <c r="L73" s="6"/>
      <c r="M73" s="2" t="s">
        <v>139</v>
      </c>
      <c r="O73" s="7" t="s">
        <v>500</v>
      </c>
    </row>
    <row r="74">
      <c r="A74" s="2">
        <v>73.0</v>
      </c>
      <c r="B74" s="2" t="s">
        <v>501</v>
      </c>
      <c r="C74" s="2" t="s">
        <v>19</v>
      </c>
      <c r="D74" s="2" t="s">
        <v>47</v>
      </c>
      <c r="E74" s="2" t="s">
        <v>97</v>
      </c>
      <c r="F74" s="2">
        <v>4.0</v>
      </c>
      <c r="G74" s="2">
        <v>1.0</v>
      </c>
      <c r="H74" s="2">
        <v>4.0</v>
      </c>
      <c r="I74" s="5" t="s">
        <v>502</v>
      </c>
      <c r="J74" s="5" t="str">
        <f>IFERROR(__xludf.DUMMYFUNCTION("""COMPUTED_VALUE"""),"https://drive.google.com/thumbnail?id=13XZBmTFXH5N8DYuPh9MuzWGMligds558&amp;sz=s1000")</f>
        <v>https://drive.google.com/thumbnail?id=13XZBmTFXH5N8DYuPh9MuzWGMligds558&amp;sz=s1000</v>
      </c>
      <c r="K74" s="6" t="s">
        <v>503</v>
      </c>
      <c r="L74" s="6"/>
      <c r="M74" s="2" t="s">
        <v>139</v>
      </c>
      <c r="O74" s="7" t="s">
        <v>504</v>
      </c>
    </row>
    <row r="75">
      <c r="A75" s="2">
        <v>74.0</v>
      </c>
      <c r="B75" s="2" t="s">
        <v>505</v>
      </c>
      <c r="C75" s="2" t="s">
        <v>17</v>
      </c>
      <c r="D75" s="2" t="s">
        <v>47</v>
      </c>
      <c r="E75" s="2" t="s">
        <v>98</v>
      </c>
      <c r="F75" s="2">
        <v>3.0</v>
      </c>
      <c r="G75" s="2">
        <v>1.0</v>
      </c>
      <c r="H75" s="2">
        <v>1.0</v>
      </c>
      <c r="I75" s="5" t="s">
        <v>506</v>
      </c>
      <c r="J75" s="5" t="str">
        <f>IFERROR(__xludf.DUMMYFUNCTION("""COMPUTED_VALUE"""),"https://drive.google.com/thumbnail?id=14cpA6wBW5O0jboeDalsgtjasCi5yoL2-&amp;sz=s1000")</f>
        <v>https://drive.google.com/thumbnail?id=14cpA6wBW5O0jboeDalsgtjasCi5yoL2-&amp;sz=s1000</v>
      </c>
      <c r="K75" s="6" t="s">
        <v>507</v>
      </c>
      <c r="L75" s="6"/>
      <c r="M75" s="2" t="s">
        <v>139</v>
      </c>
      <c r="O75" s="7" t="s">
        <v>508</v>
      </c>
    </row>
    <row r="76">
      <c r="A76" s="2">
        <v>75.0</v>
      </c>
      <c r="B76" s="2" t="s">
        <v>509</v>
      </c>
      <c r="C76" s="2" t="s">
        <v>28</v>
      </c>
      <c r="D76" s="2" t="s">
        <v>47</v>
      </c>
      <c r="E76" s="2" t="s">
        <v>510</v>
      </c>
      <c r="F76" s="2">
        <v>6.0</v>
      </c>
      <c r="G76" s="2">
        <v>1.0</v>
      </c>
      <c r="H76" s="2">
        <v>1.0</v>
      </c>
      <c r="I76" s="5" t="s">
        <v>511</v>
      </c>
      <c r="J76" s="5" t="str">
        <f>IFERROR(__xludf.DUMMYFUNCTION("""COMPUTED_VALUE"""),"https://drive.google.com/thumbnail?id=14QFJYVhPPWNWMBfWgAaZviOSGAemUlNy&amp;sz=s1000")</f>
        <v>https://drive.google.com/thumbnail?id=14QFJYVhPPWNWMBfWgAaZviOSGAemUlNy&amp;sz=s1000</v>
      </c>
      <c r="K76" s="6" t="s">
        <v>512</v>
      </c>
      <c r="L76" s="6"/>
      <c r="M76" s="2" t="s">
        <v>139</v>
      </c>
      <c r="O76" s="7" t="s">
        <v>513</v>
      </c>
    </row>
    <row r="77">
      <c r="A77" s="2">
        <v>76.0</v>
      </c>
      <c r="B77" s="2" t="s">
        <v>514</v>
      </c>
      <c r="C77" s="2" t="s">
        <v>19</v>
      </c>
      <c r="D77" s="2" t="s">
        <v>47</v>
      </c>
      <c r="E77" s="2" t="s">
        <v>92</v>
      </c>
      <c r="F77" s="2">
        <v>3.0</v>
      </c>
      <c r="G77" s="2">
        <v>1.0</v>
      </c>
      <c r="H77" s="2">
        <v>6.0</v>
      </c>
      <c r="I77" s="5" t="s">
        <v>515</v>
      </c>
      <c r="J77" s="5" t="str">
        <f>IFERROR(__xludf.DUMMYFUNCTION("""COMPUTED_VALUE"""),"https://drive.google.com/thumbnail?id=13wzW_DV4N1CF7SM_-eSJiKN6XCvHdiHa&amp;sz=s1000")</f>
        <v>https://drive.google.com/thumbnail?id=13wzW_DV4N1CF7SM_-eSJiKN6XCvHdiHa&amp;sz=s1000</v>
      </c>
      <c r="K77" s="6" t="s">
        <v>516</v>
      </c>
      <c r="L77" s="6"/>
      <c r="M77" s="2" t="s">
        <v>139</v>
      </c>
      <c r="O77" s="7" t="s">
        <v>517</v>
      </c>
    </row>
    <row r="78">
      <c r="A78" s="2">
        <v>77.0</v>
      </c>
      <c r="B78" s="2" t="s">
        <v>518</v>
      </c>
      <c r="C78" s="2" t="s">
        <v>12</v>
      </c>
      <c r="D78" s="2" t="s">
        <v>47</v>
      </c>
      <c r="E78" s="2" t="s">
        <v>102</v>
      </c>
      <c r="F78" s="2">
        <v>3.0</v>
      </c>
      <c r="G78" s="2">
        <v>1.0</v>
      </c>
      <c r="H78" s="2">
        <v>1.0</v>
      </c>
      <c r="I78" s="5" t="s">
        <v>519</v>
      </c>
      <c r="J78" s="5" t="str">
        <f>IFERROR(__xludf.DUMMYFUNCTION("""COMPUTED_VALUE"""),"https://drive.google.com/thumbnail?id=1479AS7_FoH9KMVrD_0Vxue9iGIlyaEcJ&amp;sz=s1000")</f>
        <v>https://drive.google.com/thumbnail?id=1479AS7_FoH9KMVrD_0Vxue9iGIlyaEcJ&amp;sz=s1000</v>
      </c>
      <c r="K78" s="6" t="s">
        <v>520</v>
      </c>
      <c r="L78" s="6"/>
      <c r="M78" s="2" t="s">
        <v>139</v>
      </c>
      <c r="O78" s="7" t="s">
        <v>521</v>
      </c>
    </row>
    <row r="79">
      <c r="A79" s="2">
        <v>78.0</v>
      </c>
      <c r="B79" s="2" t="s">
        <v>522</v>
      </c>
      <c r="C79" s="2" t="s">
        <v>19</v>
      </c>
      <c r="D79" s="2" t="s">
        <v>70</v>
      </c>
      <c r="E79" s="2" t="s">
        <v>88</v>
      </c>
      <c r="F79" s="2">
        <v>4.0</v>
      </c>
      <c r="G79" s="2">
        <v>2.0</v>
      </c>
      <c r="H79" s="2">
        <v>4.0</v>
      </c>
      <c r="I79" s="5" t="s">
        <v>523</v>
      </c>
      <c r="J79" s="5" t="str">
        <f>IFERROR(__xludf.DUMMYFUNCTION("""COMPUTED_VALUE"""),"https://drive.google.com/thumbnail?id=13Jjnktu_dHLIJYot0yipNyyj-RL8cMWA&amp;sz=s1000")</f>
        <v>https://drive.google.com/thumbnail?id=13Jjnktu_dHLIJYot0yipNyyj-RL8cMWA&amp;sz=s1000</v>
      </c>
      <c r="K79" s="6" t="s">
        <v>524</v>
      </c>
      <c r="L79" s="6"/>
      <c r="M79" s="2" t="s">
        <v>139</v>
      </c>
      <c r="O79" s="7" t="s">
        <v>525</v>
      </c>
    </row>
    <row r="80">
      <c r="A80" s="2">
        <v>79.0</v>
      </c>
      <c r="B80" s="2" t="s">
        <v>526</v>
      </c>
      <c r="C80" s="2" t="s">
        <v>19</v>
      </c>
      <c r="D80" s="2" t="s">
        <v>70</v>
      </c>
      <c r="E80" s="2" t="s">
        <v>24</v>
      </c>
      <c r="F80" s="2">
        <v>5.0</v>
      </c>
      <c r="G80" s="2">
        <v>2.0</v>
      </c>
      <c r="H80" s="2">
        <v>6.0</v>
      </c>
      <c r="I80" s="5" t="s">
        <v>527</v>
      </c>
      <c r="J80" s="5" t="str">
        <f>IFERROR(__xludf.DUMMYFUNCTION("""COMPUTED_VALUE"""),"https://drive.google.com/thumbnail?id=13e_PEqlVbtoENaqp9DSZWsCUV6dp7i_l&amp;sz=s1000")</f>
        <v>https://drive.google.com/thumbnail?id=13e_PEqlVbtoENaqp9DSZWsCUV6dp7i_l&amp;sz=s1000</v>
      </c>
      <c r="K80" s="6" t="s">
        <v>528</v>
      </c>
      <c r="L80" s="6"/>
      <c r="M80" s="2" t="s">
        <v>139</v>
      </c>
      <c r="O80" s="7" t="s">
        <v>529</v>
      </c>
    </row>
    <row r="81">
      <c r="A81" s="2">
        <v>80.0</v>
      </c>
      <c r="B81" s="2" t="s">
        <v>530</v>
      </c>
      <c r="C81" s="2" t="s">
        <v>19</v>
      </c>
      <c r="D81" s="2" t="s">
        <v>47</v>
      </c>
      <c r="E81" s="2" t="s">
        <v>104</v>
      </c>
      <c r="F81" s="2">
        <v>3.0</v>
      </c>
      <c r="G81" s="2">
        <v>1.0</v>
      </c>
      <c r="H81" s="2">
        <v>1.0</v>
      </c>
      <c r="I81" s="5" t="s">
        <v>531</v>
      </c>
      <c r="J81" s="5" t="str">
        <f>IFERROR(__xludf.DUMMYFUNCTION("""COMPUTED_VALUE"""),"https://drive.google.com/thumbnail?id=13X9cxt3aN1IwLrAEO-QaXPkYmQobHJOX&amp;sz=s1000")</f>
        <v>https://drive.google.com/thumbnail?id=13X9cxt3aN1IwLrAEO-QaXPkYmQobHJOX&amp;sz=s1000</v>
      </c>
      <c r="K81" s="6" t="s">
        <v>532</v>
      </c>
      <c r="L81" s="6"/>
      <c r="M81" s="2" t="s">
        <v>139</v>
      </c>
      <c r="O81" s="7" t="s">
        <v>533</v>
      </c>
    </row>
    <row r="82">
      <c r="A82" s="2">
        <v>81.0</v>
      </c>
      <c r="B82" s="2" t="s">
        <v>534</v>
      </c>
      <c r="C82" s="2" t="s">
        <v>28</v>
      </c>
      <c r="D82" s="2" t="s">
        <v>47</v>
      </c>
      <c r="E82" s="2" t="s">
        <v>104</v>
      </c>
      <c r="F82" s="2">
        <v>3.0</v>
      </c>
      <c r="G82" s="2">
        <v>1.0</v>
      </c>
      <c r="H82" s="2">
        <v>4.0</v>
      </c>
      <c r="I82" s="5" t="s">
        <v>535</v>
      </c>
      <c r="J82" s="5" t="str">
        <f>IFERROR(__xludf.DUMMYFUNCTION("""COMPUTED_VALUE"""),"https://drive.google.com/thumbnail?id=15y_SclEqCJYrr7_4pbmppwpd7yT529Ao&amp;sz=s1000")</f>
        <v>https://drive.google.com/thumbnail?id=15y_SclEqCJYrr7_4pbmppwpd7yT529Ao&amp;sz=s1000</v>
      </c>
      <c r="K82" s="6" t="s">
        <v>536</v>
      </c>
      <c r="L82" s="6"/>
      <c r="M82" s="2" t="s">
        <v>139</v>
      </c>
      <c r="O82" s="7" t="s">
        <v>537</v>
      </c>
    </row>
    <row r="83">
      <c r="A83" s="2">
        <v>82.0</v>
      </c>
      <c r="B83" s="2" t="s">
        <v>538</v>
      </c>
      <c r="C83" s="2" t="s">
        <v>19</v>
      </c>
      <c r="D83" s="2" t="s">
        <v>75</v>
      </c>
      <c r="E83" s="2" t="s">
        <v>71</v>
      </c>
      <c r="F83" s="2">
        <v>4.0</v>
      </c>
      <c r="G83" s="2">
        <v>1.0</v>
      </c>
      <c r="H83" s="2">
        <v>4.0</v>
      </c>
      <c r="I83" s="5" t="s">
        <v>539</v>
      </c>
      <c r="J83" s="5" t="str">
        <f>IFERROR(__xludf.DUMMYFUNCTION("""COMPUTED_VALUE"""),"https://drive.google.com/thumbnail?id=16hY6YoHpzpE684kRWOhlUs9WmgL1YC-C&amp;sz=s1000")</f>
        <v>https://drive.google.com/thumbnail?id=16hY6YoHpzpE684kRWOhlUs9WmgL1YC-C&amp;sz=s1000</v>
      </c>
      <c r="K83" s="6" t="s">
        <v>540</v>
      </c>
      <c r="L83" s="6"/>
      <c r="M83" s="2" t="s">
        <v>139</v>
      </c>
      <c r="O83" s="7" t="s">
        <v>541</v>
      </c>
    </row>
    <row r="84">
      <c r="A84" s="2">
        <v>83.0</v>
      </c>
      <c r="B84" s="2" t="s">
        <v>542</v>
      </c>
      <c r="C84" s="2" t="s">
        <v>28</v>
      </c>
      <c r="D84" s="2" t="s">
        <v>47</v>
      </c>
      <c r="E84" s="2" t="s">
        <v>104</v>
      </c>
      <c r="F84" s="2">
        <v>3.0</v>
      </c>
      <c r="G84" s="2">
        <v>1.0</v>
      </c>
      <c r="H84" s="2">
        <v>1.0</v>
      </c>
      <c r="I84" s="5" t="s">
        <v>543</v>
      </c>
      <c r="J84" s="5" t="str">
        <f>IFERROR(__xludf.DUMMYFUNCTION("""COMPUTED_VALUE"""),"https://drive.google.com/thumbnail?id=15SzOCV0Cs5YhF3ShSinB5qrHt7Nzm2wy&amp;sz=s1000")</f>
        <v>https://drive.google.com/thumbnail?id=15SzOCV0Cs5YhF3ShSinB5qrHt7Nzm2wy&amp;sz=s1000</v>
      </c>
      <c r="K84" s="6" t="s">
        <v>544</v>
      </c>
      <c r="L84" s="6"/>
      <c r="M84" s="2" t="s">
        <v>139</v>
      </c>
      <c r="O84" s="7" t="s">
        <v>545</v>
      </c>
    </row>
    <row r="85">
      <c r="A85" s="2">
        <v>84.0</v>
      </c>
      <c r="B85" s="2" t="s">
        <v>546</v>
      </c>
      <c r="C85" s="2" t="s">
        <v>17</v>
      </c>
      <c r="D85" s="2" t="s">
        <v>47</v>
      </c>
      <c r="E85" s="2" t="s">
        <v>105</v>
      </c>
      <c r="F85" s="2">
        <v>3.0</v>
      </c>
      <c r="G85" s="2">
        <v>1.0</v>
      </c>
      <c r="H85" s="2">
        <v>1.0</v>
      </c>
      <c r="I85" s="5" t="s">
        <v>547</v>
      </c>
      <c r="J85" s="5" t="str">
        <f>IFERROR(__xludf.DUMMYFUNCTION("""COMPUTED_VALUE"""),"https://drive.google.com/thumbnail?id=16TxERQRArLicMSENUVoIG4AYA7miEKEH&amp;sz=s1000")</f>
        <v>https://drive.google.com/thumbnail?id=16TxERQRArLicMSENUVoIG4AYA7miEKEH&amp;sz=s1000</v>
      </c>
      <c r="K85" s="6" t="s">
        <v>548</v>
      </c>
      <c r="L85" s="6"/>
      <c r="M85" s="2" t="s">
        <v>139</v>
      </c>
      <c r="O85" s="7" t="s">
        <v>549</v>
      </c>
    </row>
    <row r="86">
      <c r="A86" s="2">
        <v>85.0</v>
      </c>
      <c r="B86" s="2" t="s">
        <v>550</v>
      </c>
      <c r="C86" s="2" t="s">
        <v>28</v>
      </c>
      <c r="D86" s="2" t="s">
        <v>70</v>
      </c>
      <c r="E86" s="2" t="s">
        <v>104</v>
      </c>
      <c r="F86" s="2">
        <v>6.0</v>
      </c>
      <c r="G86" s="2">
        <v>1.0</v>
      </c>
      <c r="H86" s="2">
        <v>4.0</v>
      </c>
      <c r="I86" s="5" t="s">
        <v>551</v>
      </c>
      <c r="J86" s="5" t="str">
        <f>IFERROR(__xludf.DUMMYFUNCTION("""COMPUTED_VALUE"""),"https://drive.google.com/thumbnail?id=16tn6aN2MH6urt9zvtSw40aNgnfNk-mn0&amp;sz=s1000")</f>
        <v>https://drive.google.com/thumbnail?id=16tn6aN2MH6urt9zvtSw40aNgnfNk-mn0&amp;sz=s1000</v>
      </c>
      <c r="K86" s="6" t="s">
        <v>552</v>
      </c>
      <c r="L86" s="6"/>
      <c r="M86" s="2" t="s">
        <v>139</v>
      </c>
      <c r="O86" s="7" t="s">
        <v>553</v>
      </c>
    </row>
    <row r="87">
      <c r="A87" s="2">
        <v>86.0</v>
      </c>
      <c r="B87" s="2" t="s">
        <v>554</v>
      </c>
      <c r="C87" s="2" t="s">
        <v>12</v>
      </c>
      <c r="D87" s="2" t="s">
        <v>47</v>
      </c>
      <c r="E87" s="2" t="s">
        <v>89</v>
      </c>
      <c r="F87" s="2">
        <v>3.0</v>
      </c>
      <c r="G87" s="2">
        <v>1.0</v>
      </c>
      <c r="H87" s="2">
        <v>5.0</v>
      </c>
      <c r="I87" s="5" t="s">
        <v>555</v>
      </c>
      <c r="J87" s="5" t="str">
        <f>IFERROR(__xludf.DUMMYFUNCTION("""COMPUTED_VALUE"""),"https://drive.google.com/thumbnail?id=16ukrHpb6iWadRb80Edx-MlEBqT218F4E&amp;sz=s1000")</f>
        <v>https://drive.google.com/thumbnail?id=16ukrHpb6iWadRb80Edx-MlEBqT218F4E&amp;sz=s1000</v>
      </c>
      <c r="K87" s="6" t="s">
        <v>556</v>
      </c>
      <c r="L87" s="6"/>
      <c r="M87" s="2" t="s">
        <v>139</v>
      </c>
      <c r="O87" s="7" t="s">
        <v>557</v>
      </c>
    </row>
    <row r="88">
      <c r="A88" s="2">
        <v>87.0</v>
      </c>
      <c r="B88" s="2" t="s">
        <v>558</v>
      </c>
      <c r="C88" s="2" t="s">
        <v>12</v>
      </c>
      <c r="D88" s="2" t="s">
        <v>47</v>
      </c>
      <c r="E88" s="2" t="s">
        <v>89</v>
      </c>
      <c r="F88" s="2">
        <v>3.0</v>
      </c>
      <c r="G88" s="2">
        <v>1.0</v>
      </c>
      <c r="H88" s="2">
        <v>3.0</v>
      </c>
      <c r="I88" s="5" t="s">
        <v>559</v>
      </c>
      <c r="J88" s="5" t="str">
        <f>IFERROR(__xludf.DUMMYFUNCTION("""COMPUTED_VALUE"""),"https://drive.google.com/thumbnail?id=162BzdY6AgQihvv89aiJe75AVljbhcCVz&amp;sz=s1000")</f>
        <v>https://drive.google.com/thumbnail?id=162BzdY6AgQihvv89aiJe75AVljbhcCVz&amp;sz=s1000</v>
      </c>
      <c r="K88" s="6" t="s">
        <v>560</v>
      </c>
      <c r="L88" s="6"/>
      <c r="M88" s="2" t="s">
        <v>139</v>
      </c>
      <c r="O88" s="7" t="s">
        <v>561</v>
      </c>
    </row>
    <row r="89">
      <c r="A89" s="2">
        <v>88.0</v>
      </c>
      <c r="B89" s="2" t="s">
        <v>562</v>
      </c>
      <c r="C89" s="2" t="s">
        <v>28</v>
      </c>
      <c r="D89" s="2" t="s">
        <v>47</v>
      </c>
      <c r="E89" s="2" t="s">
        <v>77</v>
      </c>
      <c r="F89" s="2">
        <v>4.0</v>
      </c>
      <c r="G89" s="2">
        <v>1.0</v>
      </c>
      <c r="H89" s="2">
        <v>2.0</v>
      </c>
      <c r="I89" s="5" t="s">
        <v>563</v>
      </c>
      <c r="J89" s="5" t="str">
        <f>IFERROR(__xludf.DUMMYFUNCTION("""COMPUTED_VALUE"""),"https://drive.google.com/thumbnail?id=16ohdSs5JgUKTK-2PtzMr18Hs_nOiRQ2y&amp;sz=s1000")</f>
        <v>https://drive.google.com/thumbnail?id=16ohdSs5JgUKTK-2PtzMr18Hs_nOiRQ2y&amp;sz=s1000</v>
      </c>
      <c r="K89" s="6" t="s">
        <v>564</v>
      </c>
      <c r="L89" s="6"/>
      <c r="M89" s="2" t="s">
        <v>139</v>
      </c>
      <c r="O89" s="7" t="s">
        <v>565</v>
      </c>
    </row>
    <row r="90">
      <c r="A90" s="2">
        <v>89.0</v>
      </c>
      <c r="B90" s="2" t="s">
        <v>566</v>
      </c>
      <c r="C90" s="2" t="s">
        <v>28</v>
      </c>
      <c r="D90" s="2" t="s">
        <v>47</v>
      </c>
      <c r="E90" s="2" t="s">
        <v>104</v>
      </c>
      <c r="F90" s="2">
        <v>5.0</v>
      </c>
      <c r="G90" s="2">
        <v>1.0</v>
      </c>
      <c r="H90" s="2">
        <v>4.0</v>
      </c>
      <c r="I90" s="5" t="s">
        <v>567</v>
      </c>
      <c r="J90" s="5" t="str">
        <f>IFERROR(__xludf.DUMMYFUNCTION("""COMPUTED_VALUE"""),"https://drive.google.com/thumbnail?id=15LGvn0esrmDWMA6cDaEqd_Z_XgNfJpDF&amp;sz=s1000")</f>
        <v>https://drive.google.com/thumbnail?id=15LGvn0esrmDWMA6cDaEqd_Z_XgNfJpDF&amp;sz=s1000</v>
      </c>
      <c r="K90" s="6" t="s">
        <v>568</v>
      </c>
      <c r="L90" s="6"/>
      <c r="M90" s="2" t="s">
        <v>139</v>
      </c>
      <c r="O90" s="7" t="s">
        <v>569</v>
      </c>
    </row>
    <row r="91">
      <c r="A91" s="2">
        <v>90.0</v>
      </c>
      <c r="B91" s="2" t="s">
        <v>570</v>
      </c>
      <c r="C91" s="2" t="s">
        <v>28</v>
      </c>
      <c r="D91" s="2" t="s">
        <v>47</v>
      </c>
      <c r="E91" s="2" t="s">
        <v>77</v>
      </c>
      <c r="F91" s="2">
        <v>3.0</v>
      </c>
      <c r="G91" s="2">
        <v>1.0</v>
      </c>
      <c r="H91" s="2">
        <v>6.0</v>
      </c>
      <c r="I91" s="5" t="s">
        <v>571</v>
      </c>
      <c r="J91" s="5" t="str">
        <f>IFERROR(__xludf.DUMMYFUNCTION("""COMPUTED_VALUE"""),"https://drive.google.com/thumbnail?id=15yB_1zA_4tGv-zoI4ObWEOJPffsghC3s&amp;sz=s1000")</f>
        <v>https://drive.google.com/thumbnail?id=15yB_1zA_4tGv-zoI4ObWEOJPffsghC3s&amp;sz=s1000</v>
      </c>
      <c r="K91" s="6" t="s">
        <v>572</v>
      </c>
      <c r="L91" s="6"/>
      <c r="M91" s="2" t="s">
        <v>139</v>
      </c>
      <c r="O91" s="7" t="s">
        <v>573</v>
      </c>
    </row>
    <row r="92">
      <c r="A92" s="2">
        <v>91.0</v>
      </c>
      <c r="B92" s="2" t="s">
        <v>574</v>
      </c>
      <c r="C92" s="2" t="s">
        <v>19</v>
      </c>
      <c r="D92" s="2" t="s">
        <v>81</v>
      </c>
      <c r="E92" s="2" t="s">
        <v>107</v>
      </c>
      <c r="F92" s="2">
        <v>3.0</v>
      </c>
      <c r="G92" s="2">
        <v>1.0</v>
      </c>
      <c r="H92" s="2">
        <v>1.0</v>
      </c>
      <c r="I92" s="5" t="s">
        <v>575</v>
      </c>
      <c r="J92" s="5" t="str">
        <f>IFERROR(__xludf.DUMMYFUNCTION("""COMPUTED_VALUE"""),"https://drive.google.com/thumbnail?id=15mVf4z32fr1EG3YoA0OMPHmU2ptcTxS2&amp;sz=s1000")</f>
        <v>https://drive.google.com/thumbnail?id=15mVf4z32fr1EG3YoA0OMPHmU2ptcTxS2&amp;sz=s1000</v>
      </c>
      <c r="K92" s="6" t="s">
        <v>576</v>
      </c>
      <c r="L92" s="6"/>
      <c r="M92" s="2" t="s">
        <v>139</v>
      </c>
      <c r="O92" s="7" t="s">
        <v>577</v>
      </c>
    </row>
    <row r="93">
      <c r="A93" s="2">
        <v>92.0</v>
      </c>
      <c r="B93" s="2" t="s">
        <v>578</v>
      </c>
      <c r="C93" s="2" t="s">
        <v>34</v>
      </c>
      <c r="D93" s="2" t="s">
        <v>81</v>
      </c>
      <c r="E93" s="2" t="s">
        <v>107</v>
      </c>
      <c r="F93" s="2">
        <v>3.0</v>
      </c>
      <c r="G93" s="2">
        <v>1.0</v>
      </c>
      <c r="H93" s="2">
        <v>1.0</v>
      </c>
      <c r="I93" s="5" t="s">
        <v>579</v>
      </c>
      <c r="J93" s="5" t="str">
        <f>IFERROR(__xludf.DUMMYFUNCTION("""COMPUTED_VALUE"""),"https://drive.google.com/thumbnail?id=16pgxjU_BU9M_p-MIWiWdU7gkS-1prA9m&amp;sz=s1000")</f>
        <v>https://drive.google.com/thumbnail?id=16pgxjU_BU9M_p-MIWiWdU7gkS-1prA9m&amp;sz=s1000</v>
      </c>
      <c r="K93" s="6" t="s">
        <v>580</v>
      </c>
      <c r="L93" s="6"/>
      <c r="M93" s="2" t="s">
        <v>139</v>
      </c>
      <c r="O93" s="7" t="s">
        <v>581</v>
      </c>
    </row>
    <row r="94">
      <c r="A94" s="2">
        <v>93.0</v>
      </c>
      <c r="B94" s="2" t="s">
        <v>582</v>
      </c>
      <c r="C94" s="2" t="s">
        <v>12</v>
      </c>
      <c r="D94" s="2" t="s">
        <v>47</v>
      </c>
      <c r="E94" s="2" t="s">
        <v>107</v>
      </c>
      <c r="F94" s="2">
        <v>3.0</v>
      </c>
      <c r="G94" s="2">
        <v>1.0</v>
      </c>
      <c r="H94" s="2">
        <v>1.0</v>
      </c>
      <c r="I94" s="5" t="s">
        <v>583</v>
      </c>
      <c r="J94" s="5" t="str">
        <f>IFERROR(__xludf.DUMMYFUNCTION("""COMPUTED_VALUE"""),"https://drive.google.com/thumbnail?id=165uf1ytDAn_PJ5Fn4tphjJ9nJJWPkl3v&amp;sz=s1000")</f>
        <v>https://drive.google.com/thumbnail?id=165uf1ytDAn_PJ5Fn4tphjJ9nJJWPkl3v&amp;sz=s1000</v>
      </c>
      <c r="K94" s="6" t="s">
        <v>584</v>
      </c>
      <c r="L94" s="6"/>
      <c r="M94" s="2" t="s">
        <v>139</v>
      </c>
      <c r="O94" s="7" t="s">
        <v>585</v>
      </c>
    </row>
    <row r="95">
      <c r="A95" s="2">
        <v>94.0</v>
      </c>
      <c r="B95" s="2" t="s">
        <v>586</v>
      </c>
      <c r="C95" s="2" t="s">
        <v>19</v>
      </c>
      <c r="D95" s="2" t="s">
        <v>47</v>
      </c>
      <c r="E95" s="2" t="s">
        <v>107</v>
      </c>
      <c r="F95" s="2">
        <v>3.0</v>
      </c>
      <c r="G95" s="2">
        <v>1.0</v>
      </c>
      <c r="H95" s="2">
        <v>1.0</v>
      </c>
      <c r="I95" s="5" t="s">
        <v>587</v>
      </c>
      <c r="J95" s="5" t="str">
        <f>IFERROR(__xludf.DUMMYFUNCTION("""COMPUTED_VALUE"""),"https://drive.google.com/thumbnail?id=15J9JctVjITda-eZxBO-hSq8k2fBPd6Qw&amp;sz=s1000")</f>
        <v>https://drive.google.com/thumbnail?id=15J9JctVjITda-eZxBO-hSq8k2fBPd6Qw&amp;sz=s1000</v>
      </c>
      <c r="K95" s="6" t="s">
        <v>588</v>
      </c>
      <c r="L95" s="6"/>
      <c r="M95" s="2" t="s">
        <v>139</v>
      </c>
      <c r="O95" s="7" t="s">
        <v>589</v>
      </c>
    </row>
    <row r="96">
      <c r="A96" s="2">
        <v>95.0</v>
      </c>
      <c r="B96" s="2" t="s">
        <v>590</v>
      </c>
      <c r="C96" s="2" t="s">
        <v>19</v>
      </c>
      <c r="D96" s="2" t="s">
        <v>45</v>
      </c>
      <c r="E96" s="2" t="s">
        <v>107</v>
      </c>
      <c r="F96" s="2">
        <v>5.0</v>
      </c>
      <c r="G96" s="2">
        <v>1.0</v>
      </c>
      <c r="H96" s="2">
        <v>1.0</v>
      </c>
      <c r="I96" s="5" t="s">
        <v>591</v>
      </c>
      <c r="J96" s="5" t="str">
        <f>IFERROR(__xludf.DUMMYFUNCTION("""COMPUTED_VALUE"""),"https://drive.google.com/thumbnail?id=16ak79OtomifTTsJOBRLgMKjXoynVh0Zr&amp;sz=s1000")</f>
        <v>https://drive.google.com/thumbnail?id=16ak79OtomifTTsJOBRLgMKjXoynVh0Zr&amp;sz=s1000</v>
      </c>
      <c r="K96" s="6" t="s">
        <v>592</v>
      </c>
      <c r="L96" s="6"/>
      <c r="M96" s="2" t="s">
        <v>139</v>
      </c>
      <c r="O96" s="7" t="s">
        <v>593</v>
      </c>
    </row>
    <row r="97">
      <c r="A97" s="2">
        <v>96.0</v>
      </c>
      <c r="B97" s="2" t="s">
        <v>594</v>
      </c>
      <c r="C97" s="2" t="s">
        <v>36</v>
      </c>
      <c r="D97" s="2" t="s">
        <v>47</v>
      </c>
      <c r="E97" s="2" t="s">
        <v>36</v>
      </c>
      <c r="F97" s="2">
        <v>3.0</v>
      </c>
      <c r="G97" s="2">
        <v>1.0</v>
      </c>
      <c r="H97" s="2">
        <v>6.0</v>
      </c>
      <c r="I97" s="5" t="s">
        <v>595</v>
      </c>
      <c r="J97" s="5" t="str">
        <f>IFERROR(__xludf.DUMMYFUNCTION("""COMPUTED_VALUE"""),"https://drive.google.com/thumbnail?id=16tB8daDDuxHNeLiS-hS4LBylukwLBZEV&amp;sz=s1000")</f>
        <v>https://drive.google.com/thumbnail?id=16tB8daDDuxHNeLiS-hS4LBylukwLBZEV&amp;sz=s1000</v>
      </c>
      <c r="K97" s="6" t="s">
        <v>596</v>
      </c>
      <c r="L97" s="6"/>
      <c r="M97" s="2" t="s">
        <v>139</v>
      </c>
      <c r="O97" s="7" t="s">
        <v>597</v>
      </c>
    </row>
    <row r="98">
      <c r="A98" s="2">
        <v>97.0</v>
      </c>
      <c r="B98" s="2" t="s">
        <v>598</v>
      </c>
      <c r="C98" s="2" t="s">
        <v>28</v>
      </c>
      <c r="D98" s="2" t="s">
        <v>47</v>
      </c>
      <c r="E98" s="2" t="s">
        <v>111</v>
      </c>
      <c r="F98" s="2">
        <v>3.0</v>
      </c>
      <c r="G98" s="2">
        <v>1.0</v>
      </c>
      <c r="H98" s="2">
        <v>1.0</v>
      </c>
      <c r="I98" s="5" t="s">
        <v>599</v>
      </c>
      <c r="J98" s="5" t="str">
        <f>IFERROR(__xludf.DUMMYFUNCTION("""COMPUTED_VALUE"""),"https://drive.google.com/thumbnail?id=15Io3QyrwS2GP_qpn7ys67yU1hPqHqyDA&amp;sz=s1000")</f>
        <v>https://drive.google.com/thumbnail?id=15Io3QyrwS2GP_qpn7ys67yU1hPqHqyDA&amp;sz=s1000</v>
      </c>
      <c r="K98" s="6" t="s">
        <v>600</v>
      </c>
      <c r="L98" s="6"/>
      <c r="M98" s="2" t="s">
        <v>139</v>
      </c>
      <c r="O98" s="7" t="s">
        <v>601</v>
      </c>
    </row>
    <row r="99">
      <c r="A99" s="2">
        <v>98.0</v>
      </c>
      <c r="B99" s="2" t="s">
        <v>602</v>
      </c>
      <c r="C99" s="2" t="s">
        <v>12</v>
      </c>
      <c r="D99" s="2" t="s">
        <v>47</v>
      </c>
      <c r="E99" s="2" t="s">
        <v>111</v>
      </c>
      <c r="F99" s="2">
        <v>3.0</v>
      </c>
      <c r="G99" s="2">
        <v>1.0</v>
      </c>
      <c r="H99" s="2">
        <v>1.0</v>
      </c>
      <c r="I99" s="5" t="s">
        <v>603</v>
      </c>
      <c r="J99" s="5" t="str">
        <f>IFERROR(__xludf.DUMMYFUNCTION("""COMPUTED_VALUE"""),"https://drive.google.com/thumbnail?id=16L3N2gG3EUFjzkl4bkHf_ZUMlWC5HeHc&amp;sz=s1000")</f>
        <v>https://drive.google.com/thumbnail?id=16L3N2gG3EUFjzkl4bkHf_ZUMlWC5HeHc&amp;sz=s1000</v>
      </c>
      <c r="K99" s="6" t="s">
        <v>604</v>
      </c>
      <c r="L99" s="6"/>
      <c r="M99" s="2" t="s">
        <v>139</v>
      </c>
      <c r="O99" s="7" t="s">
        <v>605</v>
      </c>
    </row>
    <row r="100">
      <c r="A100" s="2">
        <v>99.0</v>
      </c>
      <c r="B100" s="2" t="s">
        <v>606</v>
      </c>
      <c r="C100" s="2" t="s">
        <v>34</v>
      </c>
      <c r="D100" s="2" t="s">
        <v>81</v>
      </c>
      <c r="E100" s="2" t="s">
        <v>97</v>
      </c>
      <c r="F100" s="2">
        <v>3.0</v>
      </c>
      <c r="G100" s="2">
        <v>1.0</v>
      </c>
      <c r="H100" s="2">
        <v>1.0</v>
      </c>
      <c r="I100" s="5" t="s">
        <v>607</v>
      </c>
      <c r="J100" s="5" t="str">
        <f>IFERROR(__xludf.DUMMYFUNCTION("""COMPUTED_VALUE"""),"https://drive.google.com/thumbnail?id=15qcPuxe2f3Mp0449lyZWTJtwp3xfrkui&amp;sz=s1000")</f>
        <v>https://drive.google.com/thumbnail?id=15qcPuxe2f3Mp0449lyZWTJtwp3xfrkui&amp;sz=s1000</v>
      </c>
      <c r="K100" s="6" t="s">
        <v>608</v>
      </c>
      <c r="L100" s="6"/>
      <c r="M100" s="2" t="s">
        <v>139</v>
      </c>
      <c r="O100" s="7" t="s">
        <v>609</v>
      </c>
    </row>
    <row r="101">
      <c r="A101" s="2">
        <v>100.0</v>
      </c>
      <c r="B101" s="2" t="s">
        <v>610</v>
      </c>
      <c r="C101" s="2" t="s">
        <v>19</v>
      </c>
      <c r="D101" s="2" t="s">
        <v>53</v>
      </c>
      <c r="E101" s="2" t="s">
        <v>97</v>
      </c>
      <c r="F101" s="2">
        <v>3.0</v>
      </c>
      <c r="G101" s="2">
        <v>1.0</v>
      </c>
      <c r="H101" s="2">
        <v>1.0</v>
      </c>
      <c r="I101" s="5" t="s">
        <v>611</v>
      </c>
      <c r="J101" s="5" t="str">
        <f>IFERROR(__xludf.DUMMYFUNCTION("""COMPUTED_VALUE"""),"https://drive.google.com/thumbnail?id=15q6IDUs1pnV_3bYF5Y6BqzOvbB4GLNm3&amp;sz=s1000")</f>
        <v>https://drive.google.com/thumbnail?id=15q6IDUs1pnV_3bYF5Y6BqzOvbB4GLNm3&amp;sz=s1000</v>
      </c>
      <c r="K101" s="6" t="s">
        <v>612</v>
      </c>
      <c r="L101" s="6"/>
      <c r="M101" s="2" t="s">
        <v>139</v>
      </c>
      <c r="O101" s="7" t="s">
        <v>613</v>
      </c>
    </row>
    <row r="102">
      <c r="A102" s="2">
        <v>101.0</v>
      </c>
      <c r="B102" s="2" t="s">
        <v>614</v>
      </c>
      <c r="C102" s="2" t="s">
        <v>12</v>
      </c>
      <c r="D102" s="2" t="s">
        <v>47</v>
      </c>
      <c r="E102" s="2" t="s">
        <v>97</v>
      </c>
      <c r="F102" s="2">
        <v>4.0</v>
      </c>
      <c r="G102" s="2">
        <v>1.0</v>
      </c>
      <c r="H102" s="2">
        <v>1.0</v>
      </c>
      <c r="I102" s="5" t="s">
        <v>615</v>
      </c>
      <c r="J102" s="5" t="str">
        <f>IFERROR(__xludf.DUMMYFUNCTION("""COMPUTED_VALUE"""),"https://drive.google.com/thumbnail?id=168rYn7djWyKyi7N3ZVVaPmEiRdQOG-IN&amp;sz=s1000")</f>
        <v>https://drive.google.com/thumbnail?id=168rYn7djWyKyi7N3ZVVaPmEiRdQOG-IN&amp;sz=s1000</v>
      </c>
      <c r="K102" s="6" t="s">
        <v>616</v>
      </c>
      <c r="L102" s="6"/>
      <c r="M102" s="2" t="s">
        <v>139</v>
      </c>
      <c r="O102" s="7" t="s">
        <v>617</v>
      </c>
    </row>
    <row r="103">
      <c r="A103" s="2">
        <v>102.0</v>
      </c>
      <c r="B103" s="2" t="s">
        <v>618</v>
      </c>
      <c r="C103" s="2" t="s">
        <v>36</v>
      </c>
      <c r="D103" s="2" t="s">
        <v>47</v>
      </c>
      <c r="E103" s="2" t="s">
        <v>113</v>
      </c>
      <c r="F103" s="2">
        <v>3.0</v>
      </c>
      <c r="G103" s="2">
        <v>1.0</v>
      </c>
      <c r="H103" s="2">
        <v>1.0</v>
      </c>
      <c r="I103" s="5" t="s">
        <v>619</v>
      </c>
      <c r="J103" s="5" t="str">
        <f>IFERROR(__xludf.DUMMYFUNCTION("""COMPUTED_VALUE"""),"https://drive.google.com/thumbnail?id=16EUytuXhWltg8F3KQCCbHpmFBYGdki2L&amp;sz=s1000")</f>
        <v>https://drive.google.com/thumbnail?id=16EUytuXhWltg8F3KQCCbHpmFBYGdki2L&amp;sz=s1000</v>
      </c>
      <c r="K103" s="6" t="s">
        <v>620</v>
      </c>
      <c r="L103" s="6"/>
      <c r="M103" s="2" t="s">
        <v>139</v>
      </c>
      <c r="O103" s="7" t="s">
        <v>621</v>
      </c>
    </row>
    <row r="104">
      <c r="A104" s="2">
        <v>103.0</v>
      </c>
      <c r="B104" s="2" t="s">
        <v>622</v>
      </c>
      <c r="C104" s="2" t="s">
        <v>36</v>
      </c>
      <c r="D104" s="2" t="s">
        <v>47</v>
      </c>
      <c r="E104" s="2" t="s">
        <v>113</v>
      </c>
      <c r="F104" s="2">
        <v>3.0</v>
      </c>
      <c r="G104" s="2">
        <v>1.0</v>
      </c>
      <c r="H104" s="2">
        <v>1.0</v>
      </c>
      <c r="I104" s="5" t="s">
        <v>623</v>
      </c>
      <c r="J104" s="5" t="str">
        <f>IFERROR(__xludf.DUMMYFUNCTION("""COMPUTED_VALUE"""),"https://drive.google.com/thumbnail?id=167ouKJ03I0G08ZeAaoBKfevQNIPkqVWL&amp;sz=s1000")</f>
        <v>https://drive.google.com/thumbnail?id=167ouKJ03I0G08ZeAaoBKfevQNIPkqVWL&amp;sz=s1000</v>
      </c>
      <c r="K104" s="6" t="s">
        <v>624</v>
      </c>
      <c r="L104" s="6"/>
      <c r="M104" s="2" t="s">
        <v>139</v>
      </c>
      <c r="O104" s="7" t="s">
        <v>625</v>
      </c>
    </row>
    <row r="105">
      <c r="A105" s="2">
        <v>104.0</v>
      </c>
      <c r="B105" s="2" t="s">
        <v>626</v>
      </c>
      <c r="C105" s="2" t="s">
        <v>30</v>
      </c>
      <c r="D105" s="2" t="s">
        <v>47</v>
      </c>
      <c r="E105" s="2" t="s">
        <v>113</v>
      </c>
      <c r="F105" s="2">
        <v>3.0</v>
      </c>
      <c r="G105" s="2">
        <v>1.0</v>
      </c>
      <c r="H105" s="2">
        <v>1.0</v>
      </c>
      <c r="I105" s="5" t="s">
        <v>627</v>
      </c>
      <c r="J105" s="5" t="str">
        <f>IFERROR(__xludf.DUMMYFUNCTION("""COMPUTED_VALUE"""),"https://drive.google.com/thumbnail?id=16-yMzYxzVupdOKFCcCfopQkIMlbY0IxP&amp;sz=s1000")</f>
        <v>https://drive.google.com/thumbnail?id=16-yMzYxzVupdOKFCcCfopQkIMlbY0IxP&amp;sz=s1000</v>
      </c>
      <c r="K105" s="6" t="s">
        <v>628</v>
      </c>
      <c r="L105" s="6"/>
      <c r="M105" s="2" t="s">
        <v>139</v>
      </c>
      <c r="O105" s="7" t="s">
        <v>629</v>
      </c>
    </row>
    <row r="106">
      <c r="A106" s="2">
        <v>105.0</v>
      </c>
      <c r="B106" s="2" t="s">
        <v>630</v>
      </c>
      <c r="C106" s="2" t="s">
        <v>30</v>
      </c>
      <c r="D106" s="2" t="s">
        <v>47</v>
      </c>
      <c r="E106" s="2" t="s">
        <v>113</v>
      </c>
      <c r="F106" s="2">
        <v>3.0</v>
      </c>
      <c r="G106" s="2">
        <v>1.0</v>
      </c>
      <c r="H106" s="2">
        <v>1.0</v>
      </c>
      <c r="I106" s="5" t="s">
        <v>631</v>
      </c>
      <c r="J106" s="5" t="str">
        <f>IFERROR(__xludf.DUMMYFUNCTION("""COMPUTED_VALUE"""),"https://drive.google.com/thumbnail?id=15rBWMEkdc7rkIQpSq2lDZME6x4sXKAPY&amp;sz=s1000")</f>
        <v>https://drive.google.com/thumbnail?id=15rBWMEkdc7rkIQpSq2lDZME6x4sXKAPY&amp;sz=s1000</v>
      </c>
      <c r="K106" s="6" t="s">
        <v>632</v>
      </c>
      <c r="L106" s="6"/>
      <c r="M106" s="2" t="s">
        <v>139</v>
      </c>
      <c r="O106" s="7" t="s">
        <v>633</v>
      </c>
    </row>
    <row r="107">
      <c r="A107" s="2">
        <v>106.0</v>
      </c>
      <c r="B107" s="2" t="s">
        <v>634</v>
      </c>
      <c r="C107" s="2" t="s">
        <v>36</v>
      </c>
      <c r="D107" s="2" t="s">
        <v>47</v>
      </c>
      <c r="E107" s="2" t="s">
        <v>113</v>
      </c>
      <c r="F107" s="2">
        <v>3.0</v>
      </c>
      <c r="G107" s="2">
        <v>1.0</v>
      </c>
      <c r="H107" s="2">
        <v>1.0</v>
      </c>
      <c r="I107" s="5" t="s">
        <v>635</v>
      </c>
      <c r="J107" s="5" t="str">
        <f>IFERROR(__xludf.DUMMYFUNCTION("""COMPUTED_VALUE"""),"https://drive.google.com/thumbnail?id=15oTl1gfnEqpSTNVXclIQzNXipQuG7LhO&amp;sz=s1000")</f>
        <v>https://drive.google.com/thumbnail?id=15oTl1gfnEqpSTNVXclIQzNXipQuG7LhO&amp;sz=s1000</v>
      </c>
      <c r="K107" s="6" t="s">
        <v>636</v>
      </c>
      <c r="L107" s="6"/>
      <c r="M107" s="2" t="s">
        <v>139</v>
      </c>
      <c r="O107" s="7" t="s">
        <v>637</v>
      </c>
    </row>
    <row r="108">
      <c r="A108" s="2">
        <v>107.0</v>
      </c>
      <c r="B108" s="2" t="s">
        <v>638</v>
      </c>
      <c r="C108" s="2" t="s">
        <v>36</v>
      </c>
      <c r="D108" s="2" t="s">
        <v>47</v>
      </c>
      <c r="E108" s="2" t="s">
        <v>113</v>
      </c>
      <c r="F108" s="2">
        <v>3.0</v>
      </c>
      <c r="G108" s="2">
        <v>1.0</v>
      </c>
      <c r="H108" s="2">
        <v>1.0</v>
      </c>
      <c r="I108" s="5" t="s">
        <v>639</v>
      </c>
      <c r="J108" s="5" t="str">
        <f>IFERROR(__xludf.DUMMYFUNCTION("""COMPUTED_VALUE"""),"https://drive.google.com/thumbnail?id=15ShuG0CpZCZ3EkhXla3kqq7BxAfmUwpK&amp;sz=s1000")</f>
        <v>https://drive.google.com/thumbnail?id=15ShuG0CpZCZ3EkhXla3kqq7BxAfmUwpK&amp;sz=s1000</v>
      </c>
      <c r="K108" s="6" t="s">
        <v>640</v>
      </c>
      <c r="L108" s="6"/>
      <c r="M108" s="2" t="s">
        <v>139</v>
      </c>
      <c r="O108" s="7" t="s">
        <v>641</v>
      </c>
    </row>
    <row r="109">
      <c r="A109" s="2">
        <v>108.0</v>
      </c>
      <c r="B109" s="2" t="s">
        <v>642</v>
      </c>
      <c r="C109" s="2" t="s">
        <v>36</v>
      </c>
      <c r="D109" s="2" t="s">
        <v>47</v>
      </c>
      <c r="E109" s="2" t="s">
        <v>113</v>
      </c>
      <c r="F109" s="2">
        <v>3.0</v>
      </c>
      <c r="G109" s="2">
        <v>1.0</v>
      </c>
      <c r="H109" s="2">
        <v>1.0</v>
      </c>
      <c r="I109" s="5" t="s">
        <v>643</v>
      </c>
      <c r="J109" s="5" t="str">
        <f>IFERROR(__xludf.DUMMYFUNCTION("""COMPUTED_VALUE"""),"https://drive.google.com/thumbnail?id=16s8wsn0t9h0t7oUkQitCWSgjMSDO2sWF&amp;sz=s1000")</f>
        <v>https://drive.google.com/thumbnail?id=16s8wsn0t9h0t7oUkQitCWSgjMSDO2sWF&amp;sz=s1000</v>
      </c>
      <c r="K109" s="6" t="s">
        <v>644</v>
      </c>
      <c r="L109" s="6"/>
      <c r="M109" s="2" t="s">
        <v>139</v>
      </c>
      <c r="O109" s="7" t="s">
        <v>645</v>
      </c>
    </row>
    <row r="110">
      <c r="A110" s="2">
        <v>109.0</v>
      </c>
      <c r="B110" s="2" t="s">
        <v>646</v>
      </c>
      <c r="C110" s="2" t="s">
        <v>21</v>
      </c>
      <c r="D110" s="2" t="s">
        <v>39</v>
      </c>
      <c r="E110" s="2" t="s">
        <v>79</v>
      </c>
      <c r="F110" s="2">
        <v>5.0</v>
      </c>
      <c r="G110" s="2">
        <v>2.0</v>
      </c>
      <c r="H110" s="2">
        <v>4.0</v>
      </c>
      <c r="I110" s="5" t="s">
        <v>647</v>
      </c>
      <c r="J110" s="5" t="str">
        <f>IFERROR(__xludf.DUMMYFUNCTION("""COMPUTED_VALUE"""),"https://drive.google.com/thumbnail?id=1DSReNxr6NL0fd_JFai7HIW7WfK1yF6vV&amp;sz=s1000")</f>
        <v>https://drive.google.com/thumbnail?id=1DSReNxr6NL0fd_JFai7HIW7WfK1yF6vV&amp;sz=s1000</v>
      </c>
      <c r="K110" s="6" t="s">
        <v>648</v>
      </c>
      <c r="L110" s="6"/>
      <c r="M110" s="2" t="s">
        <v>143</v>
      </c>
      <c r="O110" s="7" t="s">
        <v>649</v>
      </c>
    </row>
    <row r="111">
      <c r="A111" s="2">
        <v>110.0</v>
      </c>
      <c r="B111" s="2" t="s">
        <v>650</v>
      </c>
      <c r="C111" s="2" t="s">
        <v>21</v>
      </c>
      <c r="D111" s="2" t="s">
        <v>39</v>
      </c>
      <c r="E111" s="2" t="s">
        <v>79</v>
      </c>
      <c r="F111" s="2">
        <v>5.0</v>
      </c>
      <c r="G111" s="2">
        <v>2.0</v>
      </c>
      <c r="H111" s="2">
        <v>4.0</v>
      </c>
      <c r="I111" s="5" t="s">
        <v>651</v>
      </c>
      <c r="J111" s="5" t="str">
        <f>IFERROR(__xludf.DUMMYFUNCTION("""COMPUTED_VALUE"""),"https://drive.google.com/thumbnail?id=1EBRhj-d7UqzS7ngds3CmsEcxsKFV3_7x&amp;sz=s1000")</f>
        <v>https://drive.google.com/thumbnail?id=1EBRhj-d7UqzS7ngds3CmsEcxsKFV3_7x&amp;sz=s1000</v>
      </c>
      <c r="K111" s="6" t="s">
        <v>652</v>
      </c>
      <c r="L111" s="6"/>
      <c r="M111" s="2" t="s">
        <v>143</v>
      </c>
      <c r="O111" s="7" t="s">
        <v>653</v>
      </c>
    </row>
    <row r="112">
      <c r="A112" s="2">
        <v>111.0</v>
      </c>
      <c r="B112" s="2" t="s">
        <v>654</v>
      </c>
      <c r="C112" s="2" t="s">
        <v>21</v>
      </c>
      <c r="D112" s="2" t="s">
        <v>39</v>
      </c>
      <c r="E112" s="2" t="s">
        <v>79</v>
      </c>
      <c r="F112" s="2">
        <v>5.0</v>
      </c>
      <c r="G112" s="2">
        <v>2.0</v>
      </c>
      <c r="H112" s="2">
        <v>4.0</v>
      </c>
      <c r="I112" s="5" t="s">
        <v>655</v>
      </c>
      <c r="J112" s="5" t="str">
        <f>IFERROR(__xludf.DUMMYFUNCTION("""COMPUTED_VALUE"""),"https://drive.google.com/thumbnail?id=1EFtSVWClaE5uAkUzlz8ClYEuWdNxMsIY&amp;sz=s1000")</f>
        <v>https://drive.google.com/thumbnail?id=1EFtSVWClaE5uAkUzlz8ClYEuWdNxMsIY&amp;sz=s1000</v>
      </c>
      <c r="K112" s="6" t="s">
        <v>656</v>
      </c>
      <c r="L112" s="6"/>
      <c r="M112" s="2" t="s">
        <v>143</v>
      </c>
      <c r="O112" s="7" t="s">
        <v>657</v>
      </c>
    </row>
    <row r="113">
      <c r="A113" s="2">
        <v>112.0</v>
      </c>
      <c r="B113" s="2" t="s">
        <v>658</v>
      </c>
      <c r="C113" s="2" t="s">
        <v>32</v>
      </c>
      <c r="D113" s="2" t="s">
        <v>39</v>
      </c>
      <c r="E113" s="2" t="s">
        <v>79</v>
      </c>
      <c r="F113" s="2">
        <v>5.0</v>
      </c>
      <c r="G113" s="2">
        <v>2.0</v>
      </c>
      <c r="H113" s="2">
        <v>5.0</v>
      </c>
      <c r="I113" s="5" t="s">
        <v>659</v>
      </c>
      <c r="J113" s="5" t="str">
        <f>IFERROR(__xludf.DUMMYFUNCTION("""COMPUTED_VALUE"""),"https://drive.google.com/thumbnail?id=1EQVYje4PvIyJgJIc08pWcCPr7i5wUPLg&amp;sz=s1000")</f>
        <v>https://drive.google.com/thumbnail?id=1EQVYje4PvIyJgJIc08pWcCPr7i5wUPLg&amp;sz=s1000</v>
      </c>
      <c r="K113" s="6" t="s">
        <v>660</v>
      </c>
      <c r="L113" s="6"/>
      <c r="M113" s="2" t="s">
        <v>143</v>
      </c>
      <c r="N113" s="2" t="s">
        <v>661</v>
      </c>
      <c r="O113" s="7" t="s">
        <v>662</v>
      </c>
    </row>
    <row r="114">
      <c r="A114" s="2">
        <v>113.0</v>
      </c>
      <c r="B114" s="2" t="s">
        <v>663</v>
      </c>
      <c r="C114" s="2" t="s">
        <v>21</v>
      </c>
      <c r="D114" s="2" t="s">
        <v>39</v>
      </c>
      <c r="E114" s="2" t="s">
        <v>68</v>
      </c>
      <c r="F114" s="2">
        <v>4.0</v>
      </c>
      <c r="G114" s="2">
        <v>2.0</v>
      </c>
      <c r="H114" s="2">
        <v>6.0</v>
      </c>
      <c r="I114" s="5" t="s">
        <v>664</v>
      </c>
      <c r="J114" s="5" t="str">
        <f>IFERROR(__xludf.DUMMYFUNCTION("""COMPUTED_VALUE"""),"https://drive.google.com/thumbnail?id=1DeSBY9yBNt8URW2CDpUygmLr9eykokfO&amp;sz=s1000")</f>
        <v>https://drive.google.com/thumbnail?id=1DeSBY9yBNt8URW2CDpUygmLr9eykokfO&amp;sz=s1000</v>
      </c>
      <c r="K114" s="6" t="s">
        <v>665</v>
      </c>
      <c r="L114" s="6"/>
      <c r="M114" s="2" t="s">
        <v>143</v>
      </c>
      <c r="N114" s="2" t="s">
        <v>666</v>
      </c>
      <c r="O114" s="7" t="s">
        <v>667</v>
      </c>
    </row>
    <row r="115">
      <c r="A115" s="2">
        <v>114.0</v>
      </c>
      <c r="B115" s="2" t="s">
        <v>668</v>
      </c>
      <c r="C115" s="2" t="s">
        <v>12</v>
      </c>
      <c r="D115" s="2" t="s">
        <v>39</v>
      </c>
      <c r="E115" s="2" t="s">
        <v>88</v>
      </c>
      <c r="F115" s="2">
        <v>7.0</v>
      </c>
      <c r="G115" s="2">
        <v>2.0</v>
      </c>
      <c r="H115" s="2">
        <v>10.0</v>
      </c>
      <c r="I115" s="5" t="s">
        <v>669</v>
      </c>
      <c r="J115" s="5" t="str">
        <f>IFERROR(__xludf.DUMMYFUNCTION("""COMPUTED_VALUE"""),"https://drive.google.com/thumbnail?id=1DnYHmgcruCcYpHQxZd4UM0zxsMOMxZgt&amp;sz=s1000")</f>
        <v>https://drive.google.com/thumbnail?id=1DnYHmgcruCcYpHQxZd4UM0zxsMOMxZgt&amp;sz=s1000</v>
      </c>
      <c r="K115" s="6" t="s">
        <v>670</v>
      </c>
      <c r="L115" s="6"/>
      <c r="M115" s="2" t="s">
        <v>143</v>
      </c>
      <c r="O115" s="7" t="s">
        <v>671</v>
      </c>
    </row>
    <row r="116">
      <c r="A116" s="2">
        <v>115.0</v>
      </c>
      <c r="B116" s="2" t="s">
        <v>672</v>
      </c>
      <c r="C116" s="2" t="s">
        <v>19</v>
      </c>
      <c r="D116" s="2" t="s">
        <v>47</v>
      </c>
      <c r="E116" s="2" t="s">
        <v>88</v>
      </c>
      <c r="F116" s="2">
        <v>3.0</v>
      </c>
      <c r="G116" s="2">
        <v>1.0</v>
      </c>
      <c r="H116" s="2">
        <v>4.0</v>
      </c>
      <c r="I116" s="5" t="s">
        <v>673</v>
      </c>
      <c r="J116" s="5" t="str">
        <f>IFERROR(__xludf.DUMMYFUNCTION("""COMPUTED_VALUE"""),"https://drive.google.com/thumbnail?id=1Dp0iR1qkn8hZ49l7Pa6zIXeQOV7KnBkS&amp;sz=s1000")</f>
        <v>https://drive.google.com/thumbnail?id=1Dp0iR1qkn8hZ49l7Pa6zIXeQOV7KnBkS&amp;sz=s1000</v>
      </c>
      <c r="K116" s="6" t="s">
        <v>674</v>
      </c>
      <c r="L116" s="6"/>
      <c r="M116" s="2" t="s">
        <v>143</v>
      </c>
      <c r="O116" s="7" t="s">
        <v>675</v>
      </c>
    </row>
    <row r="117">
      <c r="A117" s="2">
        <v>116.0</v>
      </c>
      <c r="B117" s="2" t="s">
        <v>676</v>
      </c>
      <c r="C117" s="2" t="s">
        <v>24</v>
      </c>
      <c r="D117" s="2" t="s">
        <v>47</v>
      </c>
      <c r="E117" s="2" t="s">
        <v>68</v>
      </c>
      <c r="F117" s="2">
        <v>3.0</v>
      </c>
      <c r="G117" s="2">
        <v>1.0</v>
      </c>
      <c r="H117" s="2">
        <v>2.0</v>
      </c>
      <c r="I117" s="5" t="s">
        <v>677</v>
      </c>
      <c r="J117" s="5" t="str">
        <f>IFERROR(__xludf.DUMMYFUNCTION("""COMPUTED_VALUE"""),"https://drive.google.com/thumbnail?id=1EV7xYAW3Lx6lYOD4FPEBkLbnt0MF3ksZ&amp;sz=s1000")</f>
        <v>https://drive.google.com/thumbnail?id=1EV7xYAW3Lx6lYOD4FPEBkLbnt0MF3ksZ&amp;sz=s1000</v>
      </c>
      <c r="K117" s="6" t="s">
        <v>678</v>
      </c>
      <c r="L117" s="6"/>
      <c r="M117" s="2" t="s">
        <v>143</v>
      </c>
      <c r="O117" s="7" t="s">
        <v>679</v>
      </c>
    </row>
    <row r="118">
      <c r="A118" s="2">
        <v>117.0</v>
      </c>
      <c r="B118" s="2" t="s">
        <v>680</v>
      </c>
      <c r="C118" s="2" t="s">
        <v>19</v>
      </c>
      <c r="D118" s="2" t="s">
        <v>39</v>
      </c>
      <c r="E118" s="2" t="s">
        <v>79</v>
      </c>
      <c r="F118" s="2">
        <v>3.0</v>
      </c>
      <c r="G118" s="2">
        <v>1.0</v>
      </c>
      <c r="H118" s="2">
        <v>4.0</v>
      </c>
      <c r="I118" s="5" t="s">
        <v>681</v>
      </c>
      <c r="J118" s="5" t="str">
        <f>IFERROR(__xludf.DUMMYFUNCTION("""COMPUTED_VALUE"""),"https://drive.google.com/thumbnail?id=1DgcXu9UtPKueGyCIY_0P2-grxEZjCrJq&amp;sz=s1000")</f>
        <v>https://drive.google.com/thumbnail?id=1DgcXu9UtPKueGyCIY_0P2-grxEZjCrJq&amp;sz=s1000</v>
      </c>
      <c r="K118" s="6" t="s">
        <v>682</v>
      </c>
      <c r="L118" s="6"/>
      <c r="M118" s="2" t="s">
        <v>143</v>
      </c>
      <c r="N118" s="2" t="s">
        <v>683</v>
      </c>
      <c r="O118" s="7" t="s">
        <v>684</v>
      </c>
    </row>
    <row r="119">
      <c r="A119" s="2">
        <v>118.0</v>
      </c>
      <c r="B119" s="2" t="s">
        <v>685</v>
      </c>
      <c r="C119" s="2" t="s">
        <v>24</v>
      </c>
      <c r="D119" s="2" t="s">
        <v>47</v>
      </c>
      <c r="E119" s="2" t="s">
        <v>77</v>
      </c>
      <c r="F119" s="2">
        <v>3.0</v>
      </c>
      <c r="G119" s="2">
        <v>1.0</v>
      </c>
      <c r="H119" s="2">
        <v>4.0</v>
      </c>
      <c r="I119" s="5" t="s">
        <v>686</v>
      </c>
      <c r="J119" s="5" t="str">
        <f>IFERROR(__xludf.DUMMYFUNCTION("""COMPUTED_VALUE"""),"https://drive.google.com/thumbnail?id=1DWzC1baRZL3kiFXtGDEmVyORn7SGi6en&amp;sz=s1000")</f>
        <v>https://drive.google.com/thumbnail?id=1DWzC1baRZL3kiFXtGDEmVyORn7SGi6en&amp;sz=s1000</v>
      </c>
      <c r="K119" s="6" t="s">
        <v>687</v>
      </c>
      <c r="L119" s="6"/>
      <c r="M119" s="2" t="s">
        <v>143</v>
      </c>
      <c r="N119" s="2" t="s">
        <v>688</v>
      </c>
      <c r="O119" s="7" t="s">
        <v>689</v>
      </c>
    </row>
    <row r="120">
      <c r="A120" s="2">
        <v>119.0</v>
      </c>
      <c r="B120" s="2" t="s">
        <v>690</v>
      </c>
      <c r="C120" s="2" t="s">
        <v>12</v>
      </c>
      <c r="D120" s="2" t="s">
        <v>47</v>
      </c>
      <c r="E120" s="2" t="s">
        <v>88</v>
      </c>
      <c r="F120" s="2">
        <v>4.0</v>
      </c>
      <c r="G120" s="2">
        <v>1.0</v>
      </c>
      <c r="H120" s="2">
        <v>5.0</v>
      </c>
      <c r="I120" s="5" t="s">
        <v>691</v>
      </c>
      <c r="J120" s="5" t="str">
        <f>IFERROR(__xludf.DUMMYFUNCTION("""COMPUTED_VALUE"""),"https://drive.google.com/thumbnail?id=1EQ7If8sZmws9ACnuNhPo_7z6mZI2ZblV&amp;sz=s1000")</f>
        <v>https://drive.google.com/thumbnail?id=1EQ7If8sZmws9ACnuNhPo_7z6mZI2ZblV&amp;sz=s1000</v>
      </c>
      <c r="K120" s="6" t="s">
        <v>692</v>
      </c>
      <c r="L120" s="6"/>
      <c r="M120" s="2" t="s">
        <v>143</v>
      </c>
      <c r="N120" s="2" t="s">
        <v>693</v>
      </c>
      <c r="O120" s="7" t="s">
        <v>694</v>
      </c>
    </row>
    <row r="121">
      <c r="A121" s="2">
        <v>120.0</v>
      </c>
      <c r="B121" s="2" t="s">
        <v>695</v>
      </c>
      <c r="C121" s="2" t="s">
        <v>19</v>
      </c>
      <c r="D121" s="2" t="s">
        <v>43</v>
      </c>
      <c r="E121" s="2" t="s">
        <v>68</v>
      </c>
      <c r="F121" s="2">
        <v>4.0</v>
      </c>
      <c r="G121" s="2">
        <v>1.0</v>
      </c>
      <c r="H121" s="2">
        <v>1.0</v>
      </c>
      <c r="I121" s="5" t="s">
        <v>696</v>
      </c>
      <c r="J121" s="5" t="str">
        <f>IFERROR(__xludf.DUMMYFUNCTION("""COMPUTED_VALUE"""),"https://drive.google.com/thumbnail?id=1ESrFCA3xnGwgexEiPGFskqXXDB26Zfp0&amp;sz=s1000")</f>
        <v>https://drive.google.com/thumbnail?id=1ESrFCA3xnGwgexEiPGFskqXXDB26Zfp0&amp;sz=s1000</v>
      </c>
      <c r="K121" s="6" t="s">
        <v>697</v>
      </c>
      <c r="L121" s="6"/>
      <c r="M121" s="2" t="s">
        <v>139</v>
      </c>
      <c r="O121" s="7" t="s">
        <v>698</v>
      </c>
    </row>
    <row r="122">
      <c r="A122" s="2">
        <v>121.0</v>
      </c>
      <c r="B122" s="2" t="s">
        <v>699</v>
      </c>
      <c r="C122" s="2" t="s">
        <v>12</v>
      </c>
      <c r="D122" s="2" t="s">
        <v>43</v>
      </c>
      <c r="E122" s="2" t="s">
        <v>88</v>
      </c>
      <c r="F122" s="2">
        <v>8.0</v>
      </c>
      <c r="G122" s="2">
        <v>1.0</v>
      </c>
      <c r="H122" s="2">
        <v>2.0</v>
      </c>
      <c r="I122" s="5" t="s">
        <v>700</v>
      </c>
      <c r="J122" s="5" t="str">
        <f>IFERROR(__xludf.DUMMYFUNCTION("""COMPUTED_VALUE"""),"https://drive.google.com/thumbnail?id=1E1joos-Wu5HqzT7t1n_qbEkckz5bJ1bI&amp;sz=s1000")</f>
        <v>https://drive.google.com/thumbnail?id=1E1joos-Wu5HqzT7t1n_qbEkckz5bJ1bI&amp;sz=s1000</v>
      </c>
      <c r="K122" s="6" t="s">
        <v>701</v>
      </c>
      <c r="L122" s="6"/>
      <c r="M122" s="2" t="s">
        <v>139</v>
      </c>
      <c r="O122" s="7" t="s">
        <v>702</v>
      </c>
    </row>
    <row r="123">
      <c r="A123" s="2">
        <v>122.0</v>
      </c>
      <c r="B123" s="2" t="s">
        <v>703</v>
      </c>
      <c r="C123" s="2" t="s">
        <v>21</v>
      </c>
      <c r="D123" s="2" t="s">
        <v>39</v>
      </c>
      <c r="E123" s="2" t="s">
        <v>77</v>
      </c>
      <c r="F123" s="2">
        <v>4.0</v>
      </c>
      <c r="G123" s="2">
        <v>2.0</v>
      </c>
      <c r="H123" s="2">
        <v>6.0</v>
      </c>
      <c r="I123" s="5" t="s">
        <v>704</v>
      </c>
      <c r="J123" s="5" t="str">
        <f>IFERROR(__xludf.DUMMYFUNCTION("""COMPUTED_VALUE"""),"https://drive.google.com/thumbnail?id=1EYcBHZIN8L61kfXk2OwiS22nRjAE_MKu&amp;sz=s1000")</f>
        <v>https://drive.google.com/thumbnail?id=1EYcBHZIN8L61kfXk2OwiS22nRjAE_MKu&amp;sz=s1000</v>
      </c>
      <c r="K123" s="6" t="s">
        <v>705</v>
      </c>
      <c r="L123" s="6"/>
      <c r="M123" s="2" t="s">
        <v>139</v>
      </c>
      <c r="O123" s="7" t="s">
        <v>706</v>
      </c>
    </row>
    <row r="124">
      <c r="A124" s="2">
        <v>123.0</v>
      </c>
      <c r="B124" s="2" t="s">
        <v>707</v>
      </c>
      <c r="C124" s="2" t="s">
        <v>19</v>
      </c>
      <c r="D124" s="2" t="s">
        <v>39</v>
      </c>
      <c r="E124" s="2" t="s">
        <v>79</v>
      </c>
      <c r="F124" s="2">
        <v>7.0</v>
      </c>
      <c r="G124" s="2">
        <v>2.0</v>
      </c>
      <c r="H124" s="2">
        <v>4.0</v>
      </c>
      <c r="I124" s="5" t="s">
        <v>708</v>
      </c>
      <c r="J124" s="5" t="str">
        <f>IFERROR(__xludf.DUMMYFUNCTION("""COMPUTED_VALUE"""),"https://drive.google.com/thumbnail?id=1Ec0aXSoFuW1L2V9KjmPSKiwwFnTx35rm&amp;sz=s1000")</f>
        <v>https://drive.google.com/thumbnail?id=1Ec0aXSoFuW1L2V9KjmPSKiwwFnTx35rm&amp;sz=s1000</v>
      </c>
      <c r="K124" s="6" t="s">
        <v>709</v>
      </c>
      <c r="L124" s="6"/>
      <c r="M124" s="2" t="s">
        <v>139</v>
      </c>
      <c r="O124" s="7" t="s">
        <v>710</v>
      </c>
    </row>
    <row r="125">
      <c r="A125" s="2">
        <v>124.0</v>
      </c>
      <c r="B125" s="2" t="s">
        <v>711</v>
      </c>
      <c r="C125" s="2" t="s">
        <v>32</v>
      </c>
      <c r="D125" s="2" t="s">
        <v>39</v>
      </c>
      <c r="E125" s="2" t="s">
        <v>79</v>
      </c>
      <c r="F125" s="2">
        <v>7.0</v>
      </c>
      <c r="G125" s="2">
        <v>2.0</v>
      </c>
      <c r="H125" s="2">
        <v>6.0</v>
      </c>
      <c r="I125" s="5" t="s">
        <v>712</v>
      </c>
      <c r="J125" s="5" t="str">
        <f>IFERROR(__xludf.DUMMYFUNCTION("""COMPUTED_VALUE"""),"https://drive.google.com/thumbnail?id=1DT_6VKdXkHCOUhBaBVIV-qW8bdchyC0X&amp;sz=s1000")</f>
        <v>https://drive.google.com/thumbnail?id=1DT_6VKdXkHCOUhBaBVIV-qW8bdchyC0X&amp;sz=s1000</v>
      </c>
      <c r="K125" s="6" t="s">
        <v>713</v>
      </c>
      <c r="L125" s="6"/>
      <c r="M125" s="2" t="s">
        <v>139</v>
      </c>
      <c r="O125" s="7" t="s">
        <v>714</v>
      </c>
    </row>
    <row r="126">
      <c r="A126" s="2">
        <v>125.0</v>
      </c>
      <c r="B126" s="2" t="s">
        <v>715</v>
      </c>
      <c r="C126" s="2" t="s">
        <v>32</v>
      </c>
      <c r="D126" s="2" t="s">
        <v>39</v>
      </c>
      <c r="E126" s="2" t="s">
        <v>79</v>
      </c>
      <c r="F126" s="2">
        <v>7.0</v>
      </c>
      <c r="G126" s="2">
        <v>2.0</v>
      </c>
      <c r="H126" s="2">
        <v>6.0</v>
      </c>
      <c r="I126" s="5" t="s">
        <v>716</v>
      </c>
      <c r="J126" s="5" t="str">
        <f>IFERROR(__xludf.DUMMYFUNCTION("""COMPUTED_VALUE"""),"https://drive.google.com/thumbnail?id=1DT-Dg2ikstvM4tq5E1jIpEKnXKJEt7Ao&amp;sz=s1000")</f>
        <v>https://drive.google.com/thumbnail?id=1DT-Dg2ikstvM4tq5E1jIpEKnXKJEt7Ao&amp;sz=s1000</v>
      </c>
      <c r="K126" s="6" t="s">
        <v>717</v>
      </c>
      <c r="L126" s="6"/>
      <c r="M126" s="2" t="s">
        <v>139</v>
      </c>
      <c r="O126" s="7" t="s">
        <v>718</v>
      </c>
    </row>
    <row r="127">
      <c r="A127" s="2">
        <v>126.0</v>
      </c>
      <c r="B127" s="2" t="s">
        <v>719</v>
      </c>
      <c r="C127" s="2" t="s">
        <v>19</v>
      </c>
      <c r="D127" s="2" t="s">
        <v>39</v>
      </c>
      <c r="E127" s="2" t="s">
        <v>68</v>
      </c>
      <c r="F127" s="2">
        <v>5.0</v>
      </c>
      <c r="G127" s="2">
        <v>2.0</v>
      </c>
      <c r="H127" s="2">
        <v>4.0</v>
      </c>
      <c r="I127" s="5" t="s">
        <v>720</v>
      </c>
      <c r="J127" s="5" t="str">
        <f>IFERROR(__xludf.DUMMYFUNCTION("""COMPUTED_VALUE"""),"https://drive.google.com/thumbnail?id=1DuTgLoioN5nb0HyrbyESOQnGhYeq2UvS&amp;sz=s1000")</f>
        <v>https://drive.google.com/thumbnail?id=1DuTgLoioN5nb0HyrbyESOQnGhYeq2UvS&amp;sz=s1000</v>
      </c>
      <c r="K127" s="6" t="s">
        <v>721</v>
      </c>
      <c r="L127" s="6"/>
      <c r="M127" s="2" t="s">
        <v>139</v>
      </c>
      <c r="O127" s="7" t="s">
        <v>722</v>
      </c>
    </row>
    <row r="128">
      <c r="A128" s="2">
        <v>127.0</v>
      </c>
      <c r="B128" s="2" t="s">
        <v>723</v>
      </c>
      <c r="C128" s="2" t="s">
        <v>19</v>
      </c>
      <c r="D128" s="2" t="s">
        <v>39</v>
      </c>
      <c r="E128" s="2" t="s">
        <v>49</v>
      </c>
      <c r="F128" s="2">
        <v>5.0</v>
      </c>
      <c r="G128" s="2">
        <v>2.0</v>
      </c>
      <c r="H128" s="2">
        <v>5.0</v>
      </c>
      <c r="I128" s="5" t="s">
        <v>724</v>
      </c>
      <c r="J128" s="5" t="str">
        <f>IFERROR(__xludf.DUMMYFUNCTION("""COMPUTED_VALUE"""),"https://drive.google.com/thumbnail?id=1EZ5qvqURMbAP-gdwCvQ5nFSIVZ7fl2rF&amp;sz=s1000")</f>
        <v>https://drive.google.com/thumbnail?id=1EZ5qvqURMbAP-gdwCvQ5nFSIVZ7fl2rF&amp;sz=s1000</v>
      </c>
      <c r="K128" s="6" t="s">
        <v>725</v>
      </c>
      <c r="L128" s="6"/>
      <c r="M128" s="2" t="s">
        <v>139</v>
      </c>
      <c r="O128" s="7" t="s">
        <v>726</v>
      </c>
    </row>
    <row r="129">
      <c r="A129" s="2">
        <v>128.0</v>
      </c>
      <c r="B129" s="2" t="s">
        <v>727</v>
      </c>
      <c r="C129" s="2" t="s">
        <v>36</v>
      </c>
      <c r="D129" s="2" t="s">
        <v>39</v>
      </c>
      <c r="E129" s="2" t="s">
        <v>79</v>
      </c>
      <c r="F129" s="2">
        <v>5.0</v>
      </c>
      <c r="G129" s="2">
        <v>2.0</v>
      </c>
      <c r="H129" s="2">
        <v>4.0</v>
      </c>
      <c r="I129" s="5" t="s">
        <v>728</v>
      </c>
      <c r="J129" s="5" t="str">
        <f>IFERROR(__xludf.DUMMYFUNCTION("""COMPUTED_VALUE"""),"https://drive.google.com/thumbnail?id=1Emj1BgJDzamF5HvvbHqJGJIDUIJBy3DC&amp;sz=s1000")</f>
        <v>https://drive.google.com/thumbnail?id=1Emj1BgJDzamF5HvvbHqJGJIDUIJBy3DC&amp;sz=s1000</v>
      </c>
      <c r="K129" s="6" t="s">
        <v>729</v>
      </c>
      <c r="L129" s="6"/>
      <c r="M129" s="2" t="s">
        <v>139</v>
      </c>
      <c r="O129" s="7" t="s">
        <v>730</v>
      </c>
    </row>
    <row r="130">
      <c r="A130" s="2">
        <v>129.0</v>
      </c>
      <c r="B130" s="2" t="s">
        <v>731</v>
      </c>
      <c r="C130" s="2" t="s">
        <v>17</v>
      </c>
      <c r="D130" s="2" t="s">
        <v>57</v>
      </c>
      <c r="E130" s="2" t="s">
        <v>115</v>
      </c>
      <c r="F130" s="2">
        <v>4.0</v>
      </c>
      <c r="G130" s="2">
        <v>2.0</v>
      </c>
      <c r="H130" s="2">
        <v>4.0</v>
      </c>
      <c r="I130" s="5" t="s">
        <v>732</v>
      </c>
      <c r="J130" s="5" t="str">
        <f>IFERROR(__xludf.DUMMYFUNCTION("""COMPUTED_VALUE"""),"https://drive.google.com/thumbnail?id=1EkJBFuLH5WdUXawba8cUsQEjxpUS6ekK&amp;sz=s1000")</f>
        <v>https://drive.google.com/thumbnail?id=1EkJBFuLH5WdUXawba8cUsQEjxpUS6ekK&amp;sz=s1000</v>
      </c>
      <c r="K130" s="6" t="s">
        <v>733</v>
      </c>
      <c r="L130" s="6"/>
      <c r="M130" s="2" t="s">
        <v>139</v>
      </c>
      <c r="O130" s="7" t="s">
        <v>734</v>
      </c>
    </row>
    <row r="131">
      <c r="A131" s="2">
        <v>130.0</v>
      </c>
      <c r="B131" s="2" t="s">
        <v>735</v>
      </c>
      <c r="C131" s="2" t="s">
        <v>21</v>
      </c>
      <c r="D131" s="2" t="s">
        <v>47</v>
      </c>
      <c r="E131" s="2" t="s">
        <v>24</v>
      </c>
      <c r="F131" s="2">
        <v>5.0</v>
      </c>
      <c r="G131" s="2">
        <v>1.0</v>
      </c>
      <c r="H131" s="2">
        <v>4.0</v>
      </c>
      <c r="I131" s="5" t="s">
        <v>736</v>
      </c>
      <c r="J131" s="5" t="str">
        <f>IFERROR(__xludf.DUMMYFUNCTION("""COMPUTED_VALUE"""),"https://drive.google.com/thumbnail?id=1EhIpnMMilUT8c0h1UUika1p2mPaY8SeU&amp;sz=s1000")</f>
        <v>https://drive.google.com/thumbnail?id=1EhIpnMMilUT8c0h1UUika1p2mPaY8SeU&amp;sz=s1000</v>
      </c>
      <c r="K131" s="6" t="s">
        <v>737</v>
      </c>
      <c r="L131" s="6"/>
      <c r="M131" s="2" t="s">
        <v>139</v>
      </c>
      <c r="O131" s="7" t="s">
        <v>738</v>
      </c>
    </row>
    <row r="132">
      <c r="A132" s="2">
        <v>131.0</v>
      </c>
      <c r="B132" s="2" t="s">
        <v>739</v>
      </c>
      <c r="C132" s="2" t="s">
        <v>19</v>
      </c>
      <c r="D132" s="2" t="s">
        <v>53</v>
      </c>
      <c r="E132" s="2" t="s">
        <v>68</v>
      </c>
      <c r="F132" s="2">
        <v>5.0</v>
      </c>
      <c r="G132" s="2">
        <v>2.0</v>
      </c>
      <c r="H132" s="2">
        <v>6.0</v>
      </c>
      <c r="I132" s="5" t="s">
        <v>740</v>
      </c>
      <c r="J132" s="5" t="str">
        <f>IFERROR(__xludf.DUMMYFUNCTION("""COMPUTED_VALUE"""),"https://drive.google.com/thumbnail?id=1F9NzSME3O7Z8ALb0Vbc6KO_F6r3SbJ_N&amp;sz=s1000")</f>
        <v>https://drive.google.com/thumbnail?id=1F9NzSME3O7Z8ALb0Vbc6KO_F6r3SbJ_N&amp;sz=s1000</v>
      </c>
      <c r="K132" s="6" t="s">
        <v>741</v>
      </c>
      <c r="L132" s="6"/>
      <c r="M132" s="2" t="s">
        <v>139</v>
      </c>
      <c r="O132" s="7" t="s">
        <v>742</v>
      </c>
    </row>
    <row r="133">
      <c r="A133" s="2">
        <v>132.0</v>
      </c>
      <c r="B133" s="2" t="s">
        <v>743</v>
      </c>
      <c r="C133" s="2" t="s">
        <v>19</v>
      </c>
      <c r="D133" s="2" t="s">
        <v>45</v>
      </c>
      <c r="E133" s="2" t="s">
        <v>79</v>
      </c>
      <c r="F133" s="2">
        <v>4.0</v>
      </c>
      <c r="G133" s="2">
        <v>2.0</v>
      </c>
      <c r="H133" s="2">
        <v>6.0</v>
      </c>
      <c r="I133" s="5" t="s">
        <v>744</v>
      </c>
      <c r="J133" s="5" t="str">
        <f>IFERROR(__xludf.DUMMYFUNCTION("""COMPUTED_VALUE"""),"https://drive.google.com/thumbnail?id=1F6-8zHcq2wjOkgsVfZPV7GNpCHab2EPN&amp;sz=s1000")</f>
        <v>https://drive.google.com/thumbnail?id=1F6-8zHcq2wjOkgsVfZPV7GNpCHab2EPN&amp;sz=s1000</v>
      </c>
      <c r="K133" s="6" t="s">
        <v>745</v>
      </c>
      <c r="L133" s="6"/>
      <c r="M133" s="2" t="s">
        <v>139</v>
      </c>
      <c r="O133" s="7" t="s">
        <v>746</v>
      </c>
    </row>
    <row r="134">
      <c r="A134" s="2">
        <v>133.0</v>
      </c>
      <c r="B134" s="2" t="s">
        <v>747</v>
      </c>
      <c r="C134" s="2" t="s">
        <v>34</v>
      </c>
      <c r="D134" s="2" t="s">
        <v>45</v>
      </c>
      <c r="E134" s="2" t="s">
        <v>79</v>
      </c>
      <c r="F134" s="2">
        <v>6.0</v>
      </c>
      <c r="G134" s="2">
        <v>1.0</v>
      </c>
      <c r="H134" s="2">
        <v>1.0</v>
      </c>
      <c r="I134" s="5" t="s">
        <v>748</v>
      </c>
      <c r="J134" s="5" t="str">
        <f>IFERROR(__xludf.DUMMYFUNCTION("""COMPUTED_VALUE"""),"https://drive.google.com/thumbnail?id=1F11M6ogafq2wWSNOirc3h4o0uu1Y9X-S&amp;sz=s1000")</f>
        <v>https://drive.google.com/thumbnail?id=1F11M6ogafq2wWSNOirc3h4o0uu1Y9X-S&amp;sz=s1000</v>
      </c>
      <c r="K134" s="6" t="s">
        <v>749</v>
      </c>
      <c r="L134" s="6"/>
      <c r="M134" s="2" t="s">
        <v>139</v>
      </c>
      <c r="O134" s="7" t="s">
        <v>750</v>
      </c>
    </row>
    <row r="135">
      <c r="A135" s="2">
        <v>134.0</v>
      </c>
      <c r="B135" s="2" t="s">
        <v>751</v>
      </c>
      <c r="C135" s="2" t="s">
        <v>21</v>
      </c>
      <c r="D135" s="2" t="s">
        <v>43</v>
      </c>
      <c r="E135" s="2" t="s">
        <v>68</v>
      </c>
      <c r="F135" s="2">
        <v>6.0</v>
      </c>
      <c r="G135" s="2">
        <v>1.0</v>
      </c>
      <c r="H135" s="2">
        <v>4.0</v>
      </c>
      <c r="I135" s="5" t="s">
        <v>752</v>
      </c>
      <c r="J135" s="5" t="str">
        <f>IFERROR(__xludf.DUMMYFUNCTION("""COMPUTED_VALUE"""),"https://drive.google.com/thumbnail?id=1EttLjINyeYrEY_nFS0WTrp2l1X0qdc3j&amp;sz=s1000")</f>
        <v>https://drive.google.com/thumbnail?id=1EttLjINyeYrEY_nFS0WTrp2l1X0qdc3j&amp;sz=s1000</v>
      </c>
      <c r="K135" s="6" t="s">
        <v>753</v>
      </c>
      <c r="L135" s="6"/>
      <c r="M135" s="2" t="s">
        <v>139</v>
      </c>
      <c r="O135" s="7" t="s">
        <v>754</v>
      </c>
    </row>
    <row r="136">
      <c r="A136" s="2">
        <v>135.0</v>
      </c>
      <c r="B136" s="2" t="s">
        <v>755</v>
      </c>
      <c r="C136" s="2" t="s">
        <v>21</v>
      </c>
      <c r="D136" s="2" t="s">
        <v>43</v>
      </c>
      <c r="E136" s="2" t="s">
        <v>756</v>
      </c>
      <c r="F136" s="2">
        <v>6.0</v>
      </c>
      <c r="G136" s="2">
        <v>1.0</v>
      </c>
      <c r="H136" s="2">
        <v>2.0</v>
      </c>
      <c r="I136" s="5" t="s">
        <v>757</v>
      </c>
      <c r="J136" s="5" t="str">
        <f>IFERROR(__xludf.DUMMYFUNCTION("""COMPUTED_VALUE"""),"https://drive.google.com/thumbnail?id=1Ett2RuVFUtqtL6Fbnd8nvkP_KC268dCA&amp;sz=s1000")</f>
        <v>https://drive.google.com/thumbnail?id=1Ett2RuVFUtqtL6Fbnd8nvkP_KC268dCA&amp;sz=s1000</v>
      </c>
      <c r="K136" s="6" t="s">
        <v>758</v>
      </c>
      <c r="L136" s="6"/>
      <c r="M136" s="2" t="s">
        <v>139</v>
      </c>
      <c r="O136" s="7" t="s">
        <v>759</v>
      </c>
    </row>
    <row r="137">
      <c r="A137" s="2">
        <v>136.0</v>
      </c>
      <c r="B137" s="2" t="s">
        <v>760</v>
      </c>
      <c r="C137" s="2" t="s">
        <v>21</v>
      </c>
      <c r="D137" s="2" t="s">
        <v>43</v>
      </c>
      <c r="E137" s="2" t="s">
        <v>756</v>
      </c>
      <c r="F137" s="2">
        <v>6.0</v>
      </c>
      <c r="G137" s="2">
        <v>1.0</v>
      </c>
      <c r="H137" s="2">
        <v>2.0</v>
      </c>
      <c r="I137" s="5" t="s">
        <v>761</v>
      </c>
      <c r="J137" s="5" t="str">
        <f>IFERROR(__xludf.DUMMYFUNCTION("""COMPUTED_VALUE"""),"https://drive.google.com/thumbnail?id=1FXYTirph-7GQ-Zki0_WSEeDEtkHpyvyW&amp;sz=s1000")</f>
        <v>https://drive.google.com/thumbnail?id=1FXYTirph-7GQ-Zki0_WSEeDEtkHpyvyW&amp;sz=s1000</v>
      </c>
      <c r="K137" s="6" t="s">
        <v>762</v>
      </c>
      <c r="L137" s="6"/>
      <c r="M137" s="2" t="s">
        <v>139</v>
      </c>
      <c r="O137" s="7" t="s">
        <v>763</v>
      </c>
    </row>
    <row r="138">
      <c r="A138" s="2">
        <v>137.0</v>
      </c>
      <c r="B138" s="2" t="s">
        <v>764</v>
      </c>
      <c r="C138" s="2" t="s">
        <v>21</v>
      </c>
      <c r="D138" s="2" t="s">
        <v>43</v>
      </c>
      <c r="E138" s="2" t="s">
        <v>756</v>
      </c>
      <c r="F138" s="2">
        <v>6.0</v>
      </c>
      <c r="G138" s="2">
        <v>1.0</v>
      </c>
      <c r="H138" s="2">
        <v>4.0</v>
      </c>
      <c r="I138" s="5" t="s">
        <v>765</v>
      </c>
      <c r="J138" s="5" t="str">
        <f>IFERROR(__xludf.DUMMYFUNCTION("""COMPUTED_VALUE"""),"https://drive.google.com/thumbnail?id=1FLjaqLQVerhLZ9I6nQTZv-xV28e_I2zw&amp;sz=s1000")</f>
        <v>https://drive.google.com/thumbnail?id=1FLjaqLQVerhLZ9I6nQTZv-xV28e_I2zw&amp;sz=s1000</v>
      </c>
      <c r="K138" s="6" t="s">
        <v>766</v>
      </c>
      <c r="L138" s="6"/>
      <c r="M138" s="2" t="s">
        <v>139</v>
      </c>
      <c r="O138" s="7" t="s">
        <v>767</v>
      </c>
    </row>
    <row r="139">
      <c r="A139" s="2">
        <v>138.0</v>
      </c>
      <c r="B139" s="2" t="s">
        <v>768</v>
      </c>
      <c r="C139" s="2" t="s">
        <v>28</v>
      </c>
      <c r="D139" s="2" t="s">
        <v>70</v>
      </c>
      <c r="E139" s="2" t="s">
        <v>119</v>
      </c>
      <c r="F139" s="2">
        <v>3.0</v>
      </c>
      <c r="G139" s="2">
        <v>1.0</v>
      </c>
      <c r="H139" s="2">
        <v>4.0</v>
      </c>
      <c r="I139" s="5" t="s">
        <v>769</v>
      </c>
      <c r="J139" s="5" t="str">
        <f>IFERROR(__xludf.DUMMYFUNCTION("""COMPUTED_VALUE"""),"https://drive.google.com/thumbnail?id=1FLeAVwJvNqD_gnoYdC27E-WBAUWmaFl1&amp;sz=s1000")</f>
        <v>https://drive.google.com/thumbnail?id=1FLeAVwJvNqD_gnoYdC27E-WBAUWmaFl1&amp;sz=s1000</v>
      </c>
      <c r="K139" s="6" t="s">
        <v>770</v>
      </c>
      <c r="L139" s="6"/>
      <c r="M139" s="2" t="s">
        <v>139</v>
      </c>
      <c r="O139" s="7" t="s">
        <v>771</v>
      </c>
    </row>
    <row r="140">
      <c r="A140" s="2">
        <v>139.0</v>
      </c>
      <c r="B140" s="2" t="s">
        <v>772</v>
      </c>
      <c r="C140" s="2" t="s">
        <v>12</v>
      </c>
      <c r="D140" s="2" t="s">
        <v>75</v>
      </c>
      <c r="E140" s="2" t="s">
        <v>88</v>
      </c>
      <c r="F140" s="2">
        <v>5.0</v>
      </c>
      <c r="G140" s="2">
        <v>1.0</v>
      </c>
      <c r="H140" s="2">
        <v>2.0</v>
      </c>
      <c r="I140" s="5" t="s">
        <v>773</v>
      </c>
      <c r="J140" s="5" t="str">
        <f>IFERROR(__xludf.DUMMYFUNCTION("""COMPUTED_VALUE"""),"https://drive.google.com/thumbnail?id=1FHF8wgz_Ga2qTBjc7XrCH03HnhuL_t3V&amp;sz=s1000")</f>
        <v>https://drive.google.com/thumbnail?id=1FHF8wgz_Ga2qTBjc7XrCH03HnhuL_t3V&amp;sz=s1000</v>
      </c>
      <c r="K140" s="6" t="s">
        <v>774</v>
      </c>
      <c r="L140" s="6"/>
      <c r="M140" s="2" t="s">
        <v>139</v>
      </c>
      <c r="O140" s="7" t="s">
        <v>775</v>
      </c>
    </row>
    <row r="141">
      <c r="A141" s="2">
        <v>140.0</v>
      </c>
      <c r="B141" s="2" t="s">
        <v>776</v>
      </c>
      <c r="C141" s="2" t="s">
        <v>19</v>
      </c>
      <c r="D141" s="2" t="s">
        <v>47</v>
      </c>
      <c r="E141" s="2" t="s">
        <v>92</v>
      </c>
      <c r="F141" s="2">
        <v>3.0</v>
      </c>
      <c r="G141" s="2">
        <v>1.0</v>
      </c>
      <c r="H141" s="2">
        <v>8.0</v>
      </c>
      <c r="I141" s="5" t="s">
        <v>777</v>
      </c>
      <c r="J141" s="5" t="str">
        <f>IFERROR(__xludf.DUMMYFUNCTION("""COMPUTED_VALUE"""),"https://drive.google.com/thumbnail?id=1FEHkgTSCEYgovYNuis_9ljHLWI0379kV&amp;sz=s1000")</f>
        <v>https://drive.google.com/thumbnail?id=1FEHkgTSCEYgovYNuis_9ljHLWI0379kV&amp;sz=s1000</v>
      </c>
      <c r="K141" s="6" t="s">
        <v>778</v>
      </c>
      <c r="L141" s="6"/>
      <c r="M141" s="2" t="s">
        <v>143</v>
      </c>
      <c r="N141" s="2" t="s">
        <v>779</v>
      </c>
      <c r="O141" s="7" t="s">
        <v>780</v>
      </c>
    </row>
    <row r="142">
      <c r="A142" s="2">
        <v>141.0</v>
      </c>
      <c r="B142" s="2" t="s">
        <v>781</v>
      </c>
      <c r="C142" s="2" t="s">
        <v>21</v>
      </c>
      <c r="D142" s="2" t="s">
        <v>47</v>
      </c>
      <c r="E142" s="2" t="s">
        <v>113</v>
      </c>
      <c r="F142" s="2">
        <v>3.0</v>
      </c>
      <c r="G142" s="2">
        <v>1.0</v>
      </c>
      <c r="H142" s="2">
        <v>2.0</v>
      </c>
      <c r="I142" s="5" t="s">
        <v>782</v>
      </c>
      <c r="J142" s="5" t="str">
        <f>IFERROR(__xludf.DUMMYFUNCTION("""COMPUTED_VALUE"""),"https://drive.google.com/thumbnail?id=1FDRPHYjXEgoxss6AS36OJ3wFMXGY6-Zq&amp;sz=s1000")</f>
        <v>https://drive.google.com/thumbnail?id=1FDRPHYjXEgoxss6AS36OJ3wFMXGY6-Zq&amp;sz=s1000</v>
      </c>
      <c r="K142" s="6" t="s">
        <v>783</v>
      </c>
      <c r="L142" s="6"/>
      <c r="M142" s="2" t="s">
        <v>139</v>
      </c>
      <c r="N142" s="2" t="s">
        <v>784</v>
      </c>
      <c r="O142" s="7" t="s">
        <v>785</v>
      </c>
    </row>
    <row r="143">
      <c r="A143" s="2">
        <v>142.0</v>
      </c>
      <c r="B143" s="2" t="s">
        <v>786</v>
      </c>
      <c r="C143" s="2" t="s">
        <v>24</v>
      </c>
      <c r="D143" s="2" t="s">
        <v>47</v>
      </c>
      <c r="E143" s="2" t="s">
        <v>24</v>
      </c>
      <c r="F143" s="2">
        <v>3.0</v>
      </c>
      <c r="G143" s="2">
        <v>1.0</v>
      </c>
      <c r="H143" s="2">
        <v>3.0</v>
      </c>
      <c r="I143" s="5" t="s">
        <v>787</v>
      </c>
      <c r="J143" s="5" t="str">
        <f>IFERROR(__xludf.DUMMYFUNCTION("""COMPUTED_VALUE"""),"https://drive.google.com/thumbnail?id=1FluZuIhEkZq4-J2O9k-xSHlIpv6iMSwq&amp;sz=s1000")</f>
        <v>https://drive.google.com/thumbnail?id=1FluZuIhEkZq4-J2O9k-xSHlIpv6iMSwq&amp;sz=s1000</v>
      </c>
      <c r="K143" s="6" t="s">
        <v>788</v>
      </c>
      <c r="L143" s="6"/>
      <c r="M143" s="2" t="s">
        <v>139</v>
      </c>
      <c r="N143" s="2" t="s">
        <v>789</v>
      </c>
      <c r="O143" s="7" t="s">
        <v>790</v>
      </c>
    </row>
    <row r="144">
      <c r="A144" s="2">
        <v>143.0</v>
      </c>
      <c r="B144" s="2" t="s">
        <v>791</v>
      </c>
      <c r="C144" s="2" t="s">
        <v>21</v>
      </c>
      <c r="D144" s="2" t="s">
        <v>47</v>
      </c>
      <c r="E144" s="2" t="s">
        <v>24</v>
      </c>
      <c r="F144" s="2">
        <v>3.0</v>
      </c>
      <c r="G144" s="2">
        <v>1.0</v>
      </c>
      <c r="H144" s="2">
        <v>4.0</v>
      </c>
      <c r="I144" s="5" t="s">
        <v>792</v>
      </c>
      <c r="J144" s="5" t="str">
        <f>IFERROR(__xludf.DUMMYFUNCTION("""COMPUTED_VALUE"""),"https://drive.google.com/thumbnail?id=1FdXV64jsEdR0YpPMh7bNrmK7rhK5G1xM&amp;sz=s1000")</f>
        <v>https://drive.google.com/thumbnail?id=1FdXV64jsEdR0YpPMh7bNrmK7rhK5G1xM&amp;sz=s1000</v>
      </c>
      <c r="K144" s="6" t="s">
        <v>793</v>
      </c>
      <c r="L144" s="6"/>
      <c r="M144" s="2" t="s">
        <v>139</v>
      </c>
      <c r="N144" s="2" t="s">
        <v>794</v>
      </c>
      <c r="O144" s="7" t="s">
        <v>795</v>
      </c>
    </row>
    <row r="145">
      <c r="A145" s="2">
        <v>144.0</v>
      </c>
      <c r="B145" s="2" t="s">
        <v>796</v>
      </c>
      <c r="C145" s="2" t="s">
        <v>24</v>
      </c>
      <c r="D145" s="2" t="s">
        <v>47</v>
      </c>
      <c r="E145" s="2" t="s">
        <v>24</v>
      </c>
      <c r="F145" s="2">
        <v>3.0</v>
      </c>
      <c r="G145" s="2">
        <v>1.0</v>
      </c>
      <c r="H145" s="2">
        <v>1.0</v>
      </c>
      <c r="I145" s="5" t="s">
        <v>797</v>
      </c>
      <c r="J145" s="5" t="str">
        <f>IFERROR(__xludf.DUMMYFUNCTION("""COMPUTED_VALUE"""),"https://drive.google.com/thumbnail?id=1FbPIV10PfsWzHa2ft1zTJ2C48BFz7-Wg&amp;sz=s1000")</f>
        <v>https://drive.google.com/thumbnail?id=1FbPIV10PfsWzHa2ft1zTJ2C48BFz7-Wg&amp;sz=s1000</v>
      </c>
      <c r="K145" s="6" t="s">
        <v>798</v>
      </c>
      <c r="L145" s="6"/>
      <c r="M145" s="2" t="s">
        <v>139</v>
      </c>
      <c r="N145" s="2" t="s">
        <v>799</v>
      </c>
      <c r="O145" s="7" t="s">
        <v>800</v>
      </c>
    </row>
    <row r="146">
      <c r="A146" s="2">
        <v>145.0</v>
      </c>
      <c r="B146" s="2" t="s">
        <v>801</v>
      </c>
      <c r="C146" s="2" t="s">
        <v>36</v>
      </c>
      <c r="D146" s="3"/>
      <c r="E146" s="3"/>
      <c r="F146" s="3"/>
      <c r="G146" s="2">
        <v>1.0</v>
      </c>
      <c r="H146" s="2">
        <v>1.0</v>
      </c>
      <c r="I146" s="5" t="s">
        <v>802</v>
      </c>
      <c r="J146" s="5" t="str">
        <f>IFERROR(__xludf.DUMMYFUNCTION("""COMPUTED_VALUE"""),"https://drive.google.com/thumbnail?id=1FbNnuJ1dw1toLyFhgrxhNZDGxfAz5rj6&amp;sz=s1000")</f>
        <v>https://drive.google.com/thumbnail?id=1FbNnuJ1dw1toLyFhgrxhNZDGxfAz5rj6&amp;sz=s1000</v>
      </c>
      <c r="K146" s="6" t="s">
        <v>803</v>
      </c>
      <c r="L146" s="6"/>
      <c r="M146" s="2" t="s">
        <v>139</v>
      </c>
      <c r="N146" s="2" t="s">
        <v>804</v>
      </c>
      <c r="O146" s="7" t="s">
        <v>805</v>
      </c>
    </row>
    <row r="147">
      <c r="A147" s="2">
        <v>146.0</v>
      </c>
      <c r="B147" s="2" t="s">
        <v>806</v>
      </c>
      <c r="C147" s="2" t="s">
        <v>21</v>
      </c>
      <c r="D147" s="2" t="s">
        <v>75</v>
      </c>
      <c r="E147" s="2" t="s">
        <v>24</v>
      </c>
      <c r="F147" s="2">
        <v>8.0</v>
      </c>
      <c r="G147" s="2">
        <v>2.0</v>
      </c>
      <c r="H147" s="2">
        <v>2.0</v>
      </c>
      <c r="I147" s="5" t="s">
        <v>807</v>
      </c>
      <c r="J147" s="5" t="str">
        <f>IFERROR(__xludf.DUMMYFUNCTION("""COMPUTED_VALUE"""),"https://drive.google.com/thumbnail?id=1F_GSqiPRXK1Xlsp5KU_ArhalZBguinsY&amp;sz=s1000")</f>
        <v>https://drive.google.com/thumbnail?id=1F_GSqiPRXK1Xlsp5KU_ArhalZBguinsY&amp;sz=s1000</v>
      </c>
      <c r="K147" s="6" t="s">
        <v>808</v>
      </c>
      <c r="L147" s="6"/>
      <c r="M147" s="2" t="s">
        <v>143</v>
      </c>
      <c r="O147" s="7" t="s">
        <v>809</v>
      </c>
    </row>
    <row r="148">
      <c r="A148" s="2">
        <v>147.0</v>
      </c>
      <c r="B148" s="2" t="s">
        <v>810</v>
      </c>
      <c r="C148" s="2" t="s">
        <v>12</v>
      </c>
      <c r="D148" s="2" t="s">
        <v>75</v>
      </c>
      <c r="E148" s="2" t="s">
        <v>88</v>
      </c>
      <c r="F148" s="2">
        <v>7.0</v>
      </c>
      <c r="G148" s="2">
        <v>2.0</v>
      </c>
      <c r="H148" s="2">
        <v>4.0</v>
      </c>
      <c r="I148" s="5" t="s">
        <v>811</v>
      </c>
      <c r="J148" s="5" t="str">
        <f>IFERROR(__xludf.DUMMYFUNCTION("""COMPUTED_VALUE"""),"https://drive.google.com/thumbnail?id=1FmeZyOPwHk0ZBU60UAurGluUYJjrIFUS&amp;sz=s1000")</f>
        <v>https://drive.google.com/thumbnail?id=1FmeZyOPwHk0ZBU60UAurGluUYJjrIFUS&amp;sz=s1000</v>
      </c>
      <c r="K148" s="6" t="s">
        <v>812</v>
      </c>
      <c r="L148" s="6"/>
      <c r="M148" s="2" t="s">
        <v>143</v>
      </c>
      <c r="O148" s="7" t="s">
        <v>813</v>
      </c>
    </row>
    <row r="149">
      <c r="A149" s="2">
        <v>148.0</v>
      </c>
      <c r="B149" s="2" t="s">
        <v>814</v>
      </c>
      <c r="C149" s="2" t="s">
        <v>21</v>
      </c>
      <c r="D149" s="2" t="s">
        <v>39</v>
      </c>
      <c r="E149" s="2" t="s">
        <v>73</v>
      </c>
      <c r="F149" s="2">
        <v>4.0</v>
      </c>
      <c r="G149" s="2">
        <v>2.0</v>
      </c>
      <c r="H149" s="2">
        <v>4.0</v>
      </c>
      <c r="I149" s="5" t="s">
        <v>815</v>
      </c>
      <c r="J149" s="5" t="str">
        <f>IFERROR(__xludf.DUMMYFUNCTION("""COMPUTED_VALUE"""),"https://drive.google.com/thumbnail?id=1FoyPp9afjdKFD6gTgidQzf7TDo1omgjd&amp;sz=s1000")</f>
        <v>https://drive.google.com/thumbnail?id=1FoyPp9afjdKFD6gTgidQzf7TDo1omgjd&amp;sz=s1000</v>
      </c>
      <c r="K149" s="6" t="s">
        <v>816</v>
      </c>
      <c r="L149" s="6"/>
      <c r="M149" s="2" t="s">
        <v>143</v>
      </c>
      <c r="N149" s="2" t="s">
        <v>817</v>
      </c>
      <c r="O149" s="7" t="s">
        <v>818</v>
      </c>
    </row>
    <row r="150">
      <c r="A150" s="2">
        <v>149.0</v>
      </c>
      <c r="B150" s="2" t="s">
        <v>819</v>
      </c>
      <c r="C150" s="2" t="s">
        <v>12</v>
      </c>
      <c r="D150" s="2" t="s">
        <v>39</v>
      </c>
      <c r="E150" s="2" t="s">
        <v>82</v>
      </c>
      <c r="F150" s="2">
        <v>6.0</v>
      </c>
      <c r="G150" s="2">
        <v>2.0</v>
      </c>
      <c r="H150" s="2">
        <v>4.0</v>
      </c>
      <c r="I150" s="5" t="s">
        <v>820</v>
      </c>
      <c r="J150" s="5" t="str">
        <f>IFERROR(__xludf.DUMMYFUNCTION("""COMPUTED_VALUE"""),"https://drive.google.com/thumbnail?id=17DU2aXHhl07bL7jqhcqabl2yUN4v71v2&amp;sz=s1000")</f>
        <v>https://drive.google.com/thumbnail?id=17DU2aXHhl07bL7jqhcqabl2yUN4v71v2&amp;sz=s1000</v>
      </c>
      <c r="K150" s="6" t="s">
        <v>821</v>
      </c>
      <c r="L150" s="6"/>
      <c r="M150" s="2" t="s">
        <v>143</v>
      </c>
      <c r="N150" s="2" t="s">
        <v>822</v>
      </c>
      <c r="O150" s="7" t="s">
        <v>823</v>
      </c>
    </row>
    <row r="151">
      <c r="A151" s="2">
        <v>150.0</v>
      </c>
      <c r="B151" s="2" t="s">
        <v>824</v>
      </c>
      <c r="C151" s="2" t="s">
        <v>34</v>
      </c>
      <c r="D151" s="2" t="s">
        <v>47</v>
      </c>
      <c r="E151" s="2" t="s">
        <v>126</v>
      </c>
      <c r="F151" s="2">
        <v>3.0</v>
      </c>
      <c r="G151" s="2">
        <v>1.0</v>
      </c>
      <c r="H151" s="2">
        <v>1.0</v>
      </c>
      <c r="I151" s="5" t="s">
        <v>825</v>
      </c>
      <c r="J151" s="5" t="str">
        <f>IFERROR(__xludf.DUMMYFUNCTION("""COMPUTED_VALUE"""),"https://drive.google.com/thumbnail?id=178p91u25MB0o-1S2LCCZwb9paz_pka5A&amp;sz=s1000")</f>
        <v>https://drive.google.com/thumbnail?id=178p91u25MB0o-1S2LCCZwb9paz_pka5A&amp;sz=s1000</v>
      </c>
      <c r="K151" s="6" t="s">
        <v>826</v>
      </c>
      <c r="L151" s="6"/>
      <c r="M151" s="2" t="s">
        <v>139</v>
      </c>
      <c r="O151" s="7" t="s">
        <v>827</v>
      </c>
    </row>
    <row r="152">
      <c r="A152" s="2">
        <v>151.0</v>
      </c>
      <c r="B152" s="2" t="s">
        <v>828</v>
      </c>
      <c r="C152" s="2" t="s">
        <v>36</v>
      </c>
      <c r="D152" s="2" t="s">
        <v>47</v>
      </c>
      <c r="E152" s="2" t="s">
        <v>829</v>
      </c>
      <c r="F152" s="2">
        <v>5.0</v>
      </c>
      <c r="G152" s="2">
        <v>1.0</v>
      </c>
      <c r="H152" s="2">
        <v>4.0</v>
      </c>
      <c r="I152" s="5" t="s">
        <v>830</v>
      </c>
      <c r="J152" s="5" t="str">
        <f>IFERROR(__xludf.DUMMYFUNCTION("""COMPUTED_VALUE"""),"https://drive.google.com/thumbnail?id=176RswEuIMQ27o-Mw6GDhEpYwJTEMu8ed&amp;sz=s1000")</f>
        <v>https://drive.google.com/thumbnail?id=176RswEuIMQ27o-Mw6GDhEpYwJTEMu8ed&amp;sz=s1000</v>
      </c>
      <c r="K152" s="6" t="s">
        <v>831</v>
      </c>
      <c r="L152" s="6"/>
      <c r="M152" s="2" t="s">
        <v>143</v>
      </c>
      <c r="N152" s="2" t="s">
        <v>832</v>
      </c>
      <c r="O152" s="7" t="s">
        <v>833</v>
      </c>
    </row>
    <row r="153">
      <c r="A153" s="2">
        <v>152.0</v>
      </c>
      <c r="B153" s="2" t="s">
        <v>834</v>
      </c>
      <c r="C153" s="2" t="s">
        <v>21</v>
      </c>
      <c r="D153" s="2" t="s">
        <v>47</v>
      </c>
      <c r="E153" s="2" t="s">
        <v>24</v>
      </c>
      <c r="F153" s="2">
        <v>6.0</v>
      </c>
      <c r="G153" s="2">
        <v>1.0</v>
      </c>
      <c r="H153" s="2">
        <v>8.0</v>
      </c>
      <c r="I153" s="5" t="s">
        <v>835</v>
      </c>
      <c r="J153" s="5" t="str">
        <f>IFERROR(__xludf.DUMMYFUNCTION("""COMPUTED_VALUE"""),"https://drive.google.com/thumbnail?id=173e6RUqO87t1Y0QHK1JxLxBErpPI7WEh&amp;sz=s1000")</f>
        <v>https://drive.google.com/thumbnail?id=173e6RUqO87t1Y0QHK1JxLxBErpPI7WEh&amp;sz=s1000</v>
      </c>
      <c r="K153" s="6" t="s">
        <v>836</v>
      </c>
      <c r="L153" s="6"/>
      <c r="M153" s="2" t="s">
        <v>143</v>
      </c>
      <c r="O153" s="7" t="s">
        <v>837</v>
      </c>
    </row>
    <row r="154">
      <c r="A154" s="2">
        <v>153.0</v>
      </c>
      <c r="B154" s="2" t="s">
        <v>838</v>
      </c>
      <c r="C154" s="2" t="s">
        <v>19</v>
      </c>
      <c r="D154" s="2" t="s">
        <v>57</v>
      </c>
      <c r="E154" s="2" t="s">
        <v>82</v>
      </c>
      <c r="F154" s="2">
        <v>3.0</v>
      </c>
      <c r="G154" s="2">
        <v>1.0</v>
      </c>
      <c r="H154" s="2">
        <v>8.0</v>
      </c>
      <c r="I154" s="5" t="s">
        <v>839</v>
      </c>
      <c r="J154" s="5" t="str">
        <f>IFERROR(__xludf.DUMMYFUNCTION("""COMPUTED_VALUE"""),"https://drive.google.com/thumbnail?id=17a41QtsgaVryfudJiL_6fcS9Vaw93oXW&amp;sz=s1000")</f>
        <v>https://drive.google.com/thumbnail?id=17a41QtsgaVryfudJiL_6fcS9Vaw93oXW&amp;sz=s1000</v>
      </c>
      <c r="K154" s="6" t="s">
        <v>840</v>
      </c>
      <c r="L154" s="6"/>
      <c r="M154" s="2" t="s">
        <v>143</v>
      </c>
      <c r="N154" s="2" t="s">
        <v>841</v>
      </c>
      <c r="O154" s="7" t="s">
        <v>842</v>
      </c>
    </row>
    <row r="155">
      <c r="A155" s="2">
        <v>154.0</v>
      </c>
      <c r="B155" s="2" t="s">
        <v>843</v>
      </c>
      <c r="C155" s="2" t="s">
        <v>19</v>
      </c>
      <c r="D155" s="2" t="s">
        <v>39</v>
      </c>
      <c r="E155" s="2" t="s">
        <v>82</v>
      </c>
      <c r="F155" s="2">
        <v>5.0</v>
      </c>
      <c r="G155" s="2">
        <v>1.0</v>
      </c>
      <c r="H155" s="2">
        <v>4.0</v>
      </c>
      <c r="I155" s="5" t="s">
        <v>844</v>
      </c>
      <c r="J155" s="5" t="str">
        <f>IFERROR(__xludf.DUMMYFUNCTION("""COMPUTED_VALUE"""),"https://drive.google.com/thumbnail?id=17THXLs9YjaVXbRbS_uoMA283s3KCw4HF&amp;sz=s1000")</f>
        <v>https://drive.google.com/thumbnail?id=17THXLs9YjaVXbRbS_uoMA283s3KCw4HF&amp;sz=s1000</v>
      </c>
      <c r="K155" s="6" t="s">
        <v>845</v>
      </c>
      <c r="L155" s="6"/>
      <c r="M155" s="2" t="s">
        <v>143</v>
      </c>
      <c r="N155" s="2" t="s">
        <v>846</v>
      </c>
      <c r="O155" s="7" t="s">
        <v>847</v>
      </c>
    </row>
    <row r="156">
      <c r="A156" s="2">
        <v>155.0</v>
      </c>
      <c r="B156" s="2" t="s">
        <v>848</v>
      </c>
      <c r="C156" s="2" t="s">
        <v>19</v>
      </c>
      <c r="D156" s="2" t="s">
        <v>39</v>
      </c>
      <c r="E156" s="2" t="s">
        <v>82</v>
      </c>
      <c r="F156" s="2">
        <v>5.0</v>
      </c>
      <c r="G156" s="2">
        <v>2.0</v>
      </c>
      <c r="H156" s="2">
        <v>4.0</v>
      </c>
      <c r="I156" s="5" t="s">
        <v>849</v>
      </c>
      <c r="J156" s="5" t="str">
        <f>IFERROR(__xludf.DUMMYFUNCTION("""COMPUTED_VALUE"""),"https://drive.google.com/thumbnail?id=1EGooZYeQUquJ5sG6nDJSh7eXtG0gHFen&amp;sz=s1000")</f>
        <v>https://drive.google.com/thumbnail?id=1EGooZYeQUquJ5sG6nDJSh7eXtG0gHFen&amp;sz=s1000</v>
      </c>
      <c r="K156" s="6" t="s">
        <v>850</v>
      </c>
      <c r="L156" s="6"/>
      <c r="M156" s="2" t="s">
        <v>143</v>
      </c>
      <c r="N156" s="2" t="s">
        <v>851</v>
      </c>
      <c r="O156" s="7" t="s">
        <v>852</v>
      </c>
    </row>
    <row r="157">
      <c r="A157" s="2">
        <v>156.0</v>
      </c>
      <c r="B157" s="2" t="s">
        <v>853</v>
      </c>
      <c r="C157" s="2" t="s">
        <v>30</v>
      </c>
      <c r="D157" s="2" t="s">
        <v>39</v>
      </c>
      <c r="E157" s="2" t="s">
        <v>73</v>
      </c>
      <c r="F157" s="2">
        <v>6.0</v>
      </c>
      <c r="G157" s="2">
        <v>3.0</v>
      </c>
      <c r="H157" s="2">
        <v>5.0</v>
      </c>
      <c r="I157" s="5" t="s">
        <v>854</v>
      </c>
      <c r="J157" s="5" t="str">
        <f>IFERROR(__xludf.DUMMYFUNCTION("""COMPUTED_VALUE"""),"https://drive.google.com/thumbnail?id=17Ib-CJxFscuo_FEnftNYB8kWaR-GYrcT&amp;sz=s1000")</f>
        <v>https://drive.google.com/thumbnail?id=17Ib-CJxFscuo_FEnftNYB8kWaR-GYrcT&amp;sz=s1000</v>
      </c>
      <c r="K157" s="6" t="s">
        <v>855</v>
      </c>
      <c r="L157" s="6"/>
      <c r="M157" s="2" t="s">
        <v>139</v>
      </c>
      <c r="O157" s="7" t="s">
        <v>856</v>
      </c>
    </row>
    <row r="158">
      <c r="A158" s="2">
        <v>157.0</v>
      </c>
      <c r="B158" s="2" t="s">
        <v>857</v>
      </c>
      <c r="C158" s="2" t="s">
        <v>19</v>
      </c>
      <c r="D158" s="2" t="s">
        <v>39</v>
      </c>
      <c r="E158" s="2" t="s">
        <v>82</v>
      </c>
      <c r="F158" s="2">
        <v>5.0</v>
      </c>
      <c r="G158" s="2">
        <v>2.0</v>
      </c>
      <c r="H158" s="2">
        <v>4.0</v>
      </c>
      <c r="I158" s="5" t="s">
        <v>858</v>
      </c>
      <c r="J158" s="5" t="str">
        <f>IFERROR(__xludf.DUMMYFUNCTION("""COMPUTED_VALUE"""),"https://drive.google.com/thumbnail?id=1DKTJxzqpoghUcdZ2NsfS61HXQoOMoc9C&amp;sz=s1000")</f>
        <v>https://drive.google.com/thumbnail?id=1DKTJxzqpoghUcdZ2NsfS61HXQoOMoc9C&amp;sz=s1000</v>
      </c>
      <c r="K158" s="6" t="s">
        <v>859</v>
      </c>
      <c r="L158" s="6"/>
      <c r="M158" s="2" t="s">
        <v>143</v>
      </c>
      <c r="O158" s="7" t="s">
        <v>860</v>
      </c>
    </row>
    <row r="159">
      <c r="A159" s="2">
        <v>158.0</v>
      </c>
      <c r="B159" s="2" t="s">
        <v>861</v>
      </c>
      <c r="C159" s="2" t="s">
        <v>21</v>
      </c>
      <c r="D159" s="2" t="s">
        <v>43</v>
      </c>
      <c r="E159" s="2" t="s">
        <v>82</v>
      </c>
      <c r="F159" s="2">
        <v>6.0</v>
      </c>
      <c r="G159" s="2">
        <v>1.0</v>
      </c>
      <c r="H159" s="2">
        <v>3.0</v>
      </c>
      <c r="I159" s="5" t="s">
        <v>862</v>
      </c>
      <c r="J159" s="5" t="str">
        <f>IFERROR(__xludf.DUMMYFUNCTION("""COMPUTED_VALUE"""),"https://drive.google.com/thumbnail?id=17hW7eZxQmsppTPuQQjXOL9KsrzxMlUtd&amp;sz=s1000")</f>
        <v>https://drive.google.com/thumbnail?id=17hW7eZxQmsppTPuQQjXOL9KsrzxMlUtd&amp;sz=s1000</v>
      </c>
      <c r="K159" s="6" t="s">
        <v>863</v>
      </c>
      <c r="L159" s="6"/>
      <c r="M159" s="2" t="s">
        <v>139</v>
      </c>
      <c r="N159" s="2" t="s">
        <v>864</v>
      </c>
      <c r="O159" s="7" t="s">
        <v>865</v>
      </c>
    </row>
    <row r="160">
      <c r="A160" s="2">
        <v>159.0</v>
      </c>
      <c r="B160" s="2" t="s">
        <v>866</v>
      </c>
      <c r="C160" s="2" t="s">
        <v>24</v>
      </c>
      <c r="D160" s="2" t="s">
        <v>47</v>
      </c>
      <c r="E160" s="2" t="s">
        <v>77</v>
      </c>
      <c r="F160" s="2">
        <v>3.0</v>
      </c>
      <c r="G160" s="2">
        <v>1.0</v>
      </c>
      <c r="H160" s="2">
        <v>6.0</v>
      </c>
      <c r="I160" s="5" t="s">
        <v>867</v>
      </c>
      <c r="J160" s="5" t="str">
        <f>IFERROR(__xludf.DUMMYFUNCTION("""COMPUTED_VALUE"""),"https://drive.google.com/thumbnail?id=17g8gVp4AZ-h6lWblqPsgiLru2UWUmyq9&amp;sz=s1000")</f>
        <v>https://drive.google.com/thumbnail?id=17g8gVp4AZ-h6lWblqPsgiLru2UWUmyq9&amp;sz=s1000</v>
      </c>
      <c r="K160" s="6" t="s">
        <v>868</v>
      </c>
      <c r="L160" s="6"/>
      <c r="M160" s="2" t="s">
        <v>143</v>
      </c>
      <c r="N160" s="2" t="s">
        <v>869</v>
      </c>
      <c r="O160" s="7" t="s">
        <v>870</v>
      </c>
    </row>
    <row r="161">
      <c r="A161" s="2">
        <v>160.0</v>
      </c>
      <c r="B161" s="2" t="s">
        <v>871</v>
      </c>
      <c r="C161" s="2" t="s">
        <v>32</v>
      </c>
      <c r="D161" s="2" t="s">
        <v>41</v>
      </c>
      <c r="E161" s="2" t="s">
        <v>54</v>
      </c>
      <c r="F161" s="2">
        <v>4.0</v>
      </c>
      <c r="G161" s="2">
        <v>2.0</v>
      </c>
      <c r="H161" s="2">
        <v>12.0</v>
      </c>
      <c r="I161" s="5" t="s">
        <v>872</v>
      </c>
      <c r="J161" s="5" t="str">
        <f>IFERROR(__xludf.DUMMYFUNCTION("""COMPUTED_VALUE"""),"https://drive.google.com/thumbnail?id=17g3RvXwjw_yr_ImrPkBsOQxurU5igySW&amp;sz=s1000")</f>
        <v>https://drive.google.com/thumbnail?id=17g3RvXwjw_yr_ImrPkBsOQxurU5igySW&amp;sz=s1000</v>
      </c>
      <c r="K161" s="6" t="s">
        <v>873</v>
      </c>
      <c r="L161" s="6"/>
      <c r="M161" s="2" t="s">
        <v>143</v>
      </c>
      <c r="N161" s="2" t="s">
        <v>874</v>
      </c>
      <c r="O161" s="7" t="s">
        <v>875</v>
      </c>
    </row>
    <row r="162">
      <c r="A162" s="2">
        <v>161.0</v>
      </c>
      <c r="B162" s="2" t="s">
        <v>876</v>
      </c>
      <c r="C162" s="2" t="s">
        <v>19</v>
      </c>
      <c r="D162" s="3"/>
      <c r="E162" s="2" t="s">
        <v>92</v>
      </c>
      <c r="F162" s="2">
        <v>3.0</v>
      </c>
      <c r="G162" s="2">
        <v>1.0</v>
      </c>
      <c r="H162" s="2">
        <v>1.0</v>
      </c>
      <c r="I162" s="5" t="s">
        <v>877</v>
      </c>
      <c r="J162" s="5" t="str">
        <f>IFERROR(__xludf.DUMMYFUNCTION("""COMPUTED_VALUE"""),"https://drive.google.com/thumbnail?id=17fV-imoPo4vIBsE_ct3zIWoj-Dl_Dd4A&amp;sz=s1000")</f>
        <v>https://drive.google.com/thumbnail?id=17fV-imoPo4vIBsE_ct3zIWoj-Dl_Dd4A&amp;sz=s1000</v>
      </c>
      <c r="K162" s="6" t="s">
        <v>878</v>
      </c>
      <c r="L162" s="6"/>
      <c r="M162" s="2" t="s">
        <v>139</v>
      </c>
      <c r="N162" s="2"/>
      <c r="O162" s="7" t="s">
        <v>879</v>
      </c>
    </row>
    <row r="163">
      <c r="A163" s="2">
        <v>162.0</v>
      </c>
      <c r="B163" s="2" t="s">
        <v>880</v>
      </c>
      <c r="C163" s="2" t="s">
        <v>36</v>
      </c>
      <c r="D163" s="3"/>
      <c r="E163" s="3"/>
      <c r="F163" s="3"/>
      <c r="G163" s="2">
        <v>1.0</v>
      </c>
      <c r="H163" s="2">
        <v>1.0</v>
      </c>
      <c r="I163" s="5" t="s">
        <v>881</v>
      </c>
      <c r="J163" s="5" t="str">
        <f>IFERROR(__xludf.DUMMYFUNCTION("""COMPUTED_VALUE"""),"https://drive.google.com/thumbnail?id=19-mmnXSO_vcpcmmkq2UrJrAqND_WUleG&amp;sz=s1000")</f>
        <v>https://drive.google.com/thumbnail?id=19-mmnXSO_vcpcmmkq2UrJrAqND_WUleG&amp;sz=s1000</v>
      </c>
      <c r="K163" s="6" t="s">
        <v>882</v>
      </c>
      <c r="L163" s="6"/>
      <c r="M163" s="2" t="s">
        <v>143</v>
      </c>
      <c r="N163" s="2" t="s">
        <v>883</v>
      </c>
      <c r="O163" s="7" t="s">
        <v>884</v>
      </c>
    </row>
    <row r="164">
      <c r="A164" s="2">
        <v>163.0</v>
      </c>
      <c r="B164" s="2" t="s">
        <v>885</v>
      </c>
      <c r="C164" s="2" t="s">
        <v>19</v>
      </c>
      <c r="D164" s="2" t="s">
        <v>39</v>
      </c>
      <c r="E164" s="2" t="s">
        <v>122</v>
      </c>
      <c r="F164" s="2">
        <v>7.0</v>
      </c>
      <c r="G164" s="2">
        <v>2.0</v>
      </c>
      <c r="H164" s="2">
        <v>4.0</v>
      </c>
      <c r="I164" s="5" t="s">
        <v>886</v>
      </c>
      <c r="J164" s="5" t="str">
        <f>IFERROR(__xludf.DUMMYFUNCTION("""COMPUTED_VALUE"""),"https://drive.google.com/thumbnail?id=18p_9c2gI2hBMv0Qse3GgcKGJAhlWM33_&amp;sz=s1000")</f>
        <v>https://drive.google.com/thumbnail?id=18p_9c2gI2hBMv0Qse3GgcKGJAhlWM33_&amp;sz=s1000</v>
      </c>
      <c r="K164" s="6" t="s">
        <v>887</v>
      </c>
      <c r="L164" s="6"/>
      <c r="M164" s="2" t="s">
        <v>139</v>
      </c>
      <c r="O164" s="7" t="s">
        <v>888</v>
      </c>
    </row>
    <row r="165">
      <c r="A165" s="2">
        <v>164.0</v>
      </c>
      <c r="B165" s="2" t="s">
        <v>889</v>
      </c>
      <c r="C165" s="2" t="s">
        <v>34</v>
      </c>
      <c r="D165" s="2" t="s">
        <v>47</v>
      </c>
      <c r="E165" s="2" t="s">
        <v>24</v>
      </c>
      <c r="F165" s="2">
        <v>3.0</v>
      </c>
      <c r="G165" s="2">
        <v>1.0</v>
      </c>
      <c r="H165" s="2">
        <v>1.0</v>
      </c>
      <c r="I165" s="5" t="s">
        <v>890</v>
      </c>
      <c r="J165" s="5" t="str">
        <f>IFERROR(__xludf.DUMMYFUNCTION("""COMPUTED_VALUE"""),"https://drive.google.com/thumbnail?id=190mGJwe1-2Pw4SDksAvHv-a24YewqVSV&amp;sz=s1000")</f>
        <v>https://drive.google.com/thumbnail?id=190mGJwe1-2Pw4SDksAvHv-a24YewqVSV&amp;sz=s1000</v>
      </c>
      <c r="K165" s="6" t="s">
        <v>891</v>
      </c>
      <c r="L165" s="6"/>
      <c r="M165" s="2" t="s">
        <v>139</v>
      </c>
      <c r="O165" s="7" t="s">
        <v>892</v>
      </c>
    </row>
    <row r="166">
      <c r="A166" s="2">
        <v>165.0</v>
      </c>
      <c r="B166" s="2" t="s">
        <v>893</v>
      </c>
      <c r="C166" s="2" t="s">
        <v>28</v>
      </c>
      <c r="D166" s="2" t="s">
        <v>47</v>
      </c>
      <c r="E166" s="2" t="s">
        <v>24</v>
      </c>
      <c r="F166" s="2">
        <v>3.0</v>
      </c>
      <c r="G166" s="2">
        <v>1.0</v>
      </c>
      <c r="H166" s="2">
        <v>4.0</v>
      </c>
      <c r="I166" s="5" t="s">
        <v>894</v>
      </c>
      <c r="J166" s="5" t="str">
        <f>IFERROR(__xludf.DUMMYFUNCTION("""COMPUTED_VALUE"""),"https://drive.google.com/thumbnail?id=198ZomCecU-UVQtHG81vOKHfjh3LprSNa&amp;sz=s1000")</f>
        <v>https://drive.google.com/thumbnail?id=198ZomCecU-UVQtHG81vOKHfjh3LprSNa&amp;sz=s1000</v>
      </c>
      <c r="K166" s="6" t="s">
        <v>895</v>
      </c>
      <c r="L166" s="6"/>
      <c r="M166" s="2" t="s">
        <v>139</v>
      </c>
      <c r="O166" s="7" t="s">
        <v>896</v>
      </c>
    </row>
    <row r="167">
      <c r="A167" s="2">
        <v>166.0</v>
      </c>
      <c r="B167" s="2" t="s">
        <v>897</v>
      </c>
      <c r="C167" s="2" t="s">
        <v>21</v>
      </c>
      <c r="D167" s="2" t="s">
        <v>39</v>
      </c>
      <c r="E167" s="2" t="s">
        <v>77</v>
      </c>
      <c r="F167" s="2">
        <v>3.0</v>
      </c>
      <c r="G167" s="2">
        <v>1.0</v>
      </c>
      <c r="H167" s="2">
        <v>4.0</v>
      </c>
      <c r="I167" s="5" t="s">
        <v>898</v>
      </c>
      <c r="J167" s="5" t="str">
        <f>IFERROR(__xludf.DUMMYFUNCTION("""COMPUTED_VALUE"""),"https://drive.google.com/thumbnail?id=198EG1_4AbyzYPAm4ODVJ9YIowsl4CHCM&amp;sz=s1000")</f>
        <v>https://drive.google.com/thumbnail?id=198EG1_4AbyzYPAm4ODVJ9YIowsl4CHCM&amp;sz=s1000</v>
      </c>
      <c r="K167" s="6" t="s">
        <v>899</v>
      </c>
      <c r="L167" s="6"/>
      <c r="M167" s="2" t="s">
        <v>139</v>
      </c>
      <c r="N167" s="2" t="s">
        <v>900</v>
      </c>
      <c r="O167" s="7" t="s">
        <v>901</v>
      </c>
    </row>
    <row r="168">
      <c r="A168" s="2">
        <v>167.0</v>
      </c>
      <c r="B168" s="2" t="s">
        <v>902</v>
      </c>
      <c r="C168" s="2" t="s">
        <v>21</v>
      </c>
      <c r="D168" s="2" t="s">
        <v>43</v>
      </c>
      <c r="E168" s="2" t="s">
        <v>79</v>
      </c>
      <c r="F168" s="2">
        <v>5.0</v>
      </c>
      <c r="G168" s="2">
        <v>1.0</v>
      </c>
      <c r="H168" s="2">
        <v>3.0</v>
      </c>
      <c r="I168" s="5" t="s">
        <v>903</v>
      </c>
      <c r="J168" s="5" t="str">
        <f>IFERROR(__xludf.DUMMYFUNCTION("""COMPUTED_VALUE"""),"https://drive.google.com/thumbnail?id=193DAhICLCp9V7M1mOKccGqIcHigLQ2UY&amp;sz=s1000")</f>
        <v>https://drive.google.com/thumbnail?id=193DAhICLCp9V7M1mOKccGqIcHigLQ2UY&amp;sz=s1000</v>
      </c>
      <c r="K168" s="6" t="s">
        <v>904</v>
      </c>
      <c r="L168" s="6"/>
      <c r="M168" s="2" t="s">
        <v>139</v>
      </c>
      <c r="O168" s="7" t="s">
        <v>905</v>
      </c>
    </row>
    <row r="169">
      <c r="A169" s="2">
        <v>168.0</v>
      </c>
      <c r="B169" s="2" t="s">
        <v>906</v>
      </c>
      <c r="C169" s="2" t="s">
        <v>34</v>
      </c>
      <c r="D169" s="2" t="s">
        <v>70</v>
      </c>
      <c r="E169" s="2" t="s">
        <v>34</v>
      </c>
      <c r="F169" s="2">
        <v>7.0</v>
      </c>
      <c r="G169" s="2">
        <v>3.0</v>
      </c>
      <c r="H169" s="2">
        <v>6.0</v>
      </c>
      <c r="I169" s="5" t="s">
        <v>907</v>
      </c>
      <c r="J169" s="5" t="str">
        <f>IFERROR(__xludf.DUMMYFUNCTION("""COMPUTED_VALUE"""),"https://drive.google.com/thumbnail?id=19I8Ep_M5vsOw7CC9myhBohX9MCR_AX7V&amp;sz=s1000")</f>
        <v>https://drive.google.com/thumbnail?id=19I8Ep_M5vsOw7CC9myhBohX9MCR_AX7V&amp;sz=s1000</v>
      </c>
      <c r="K169" s="6" t="s">
        <v>908</v>
      </c>
      <c r="L169" s="6"/>
      <c r="M169" s="2" t="s">
        <v>139</v>
      </c>
      <c r="O169" s="7" t="s">
        <v>909</v>
      </c>
    </row>
    <row r="170">
      <c r="A170" s="2">
        <v>169.0</v>
      </c>
      <c r="B170" s="2" t="s">
        <v>910</v>
      </c>
      <c r="C170" s="2" t="s">
        <v>19</v>
      </c>
      <c r="D170" s="2" t="s">
        <v>70</v>
      </c>
      <c r="E170" s="3"/>
      <c r="F170" s="2">
        <v>6.0</v>
      </c>
      <c r="G170" s="2">
        <v>2.0</v>
      </c>
      <c r="H170" s="2">
        <v>6.0</v>
      </c>
      <c r="I170" s="5" t="s">
        <v>911</v>
      </c>
      <c r="J170" s="5" t="str">
        <f>IFERROR(__xludf.DUMMYFUNCTION("""COMPUTED_VALUE"""),"https://drive.google.com/thumbnail?id=19Fn31B9cCjLo_j94OUMKBBR8US-oPpZR&amp;sz=s1000")</f>
        <v>https://drive.google.com/thumbnail?id=19Fn31B9cCjLo_j94OUMKBBR8US-oPpZR&amp;sz=s1000</v>
      </c>
      <c r="K170" s="6" t="s">
        <v>912</v>
      </c>
      <c r="L170" s="6"/>
      <c r="M170" s="2" t="s">
        <v>139</v>
      </c>
      <c r="N170" s="2" t="s">
        <v>913</v>
      </c>
      <c r="O170" s="7" t="s">
        <v>914</v>
      </c>
    </row>
    <row r="171">
      <c r="A171" s="2">
        <v>170.0</v>
      </c>
      <c r="B171" s="2" t="s">
        <v>915</v>
      </c>
      <c r="C171" s="2" t="s">
        <v>19</v>
      </c>
      <c r="D171" s="2" t="s">
        <v>70</v>
      </c>
      <c r="E171" s="2" t="s">
        <v>82</v>
      </c>
      <c r="F171" s="2">
        <v>12.0</v>
      </c>
      <c r="G171" s="2">
        <v>3.0</v>
      </c>
      <c r="H171" s="2">
        <v>16.0</v>
      </c>
      <c r="I171" s="5" t="s">
        <v>916</v>
      </c>
      <c r="J171" s="5" t="str">
        <f>IFERROR(__xludf.DUMMYFUNCTION("""COMPUTED_VALUE"""),"https://drive.google.com/thumbnail?id=19Fhksylal3Ky-CzYf1RIiWYOG0XdAFOB&amp;sz=s1000")</f>
        <v>https://drive.google.com/thumbnail?id=19Fhksylal3Ky-CzYf1RIiWYOG0XdAFOB&amp;sz=s1000</v>
      </c>
      <c r="K171" s="6" t="s">
        <v>917</v>
      </c>
      <c r="L171" s="6"/>
      <c r="M171" s="2" t="s">
        <v>143</v>
      </c>
      <c r="N171" s="2" t="s">
        <v>918</v>
      </c>
      <c r="O171" s="7" t="s">
        <v>919</v>
      </c>
    </row>
    <row r="172">
      <c r="A172" s="2">
        <v>171.0</v>
      </c>
      <c r="B172" s="2" t="s">
        <v>920</v>
      </c>
      <c r="C172" s="2" t="s">
        <v>36</v>
      </c>
      <c r="D172" s="2" t="s">
        <v>70</v>
      </c>
      <c r="E172" s="2" t="s">
        <v>97</v>
      </c>
      <c r="F172" s="2">
        <v>7.0</v>
      </c>
      <c r="G172" s="2">
        <v>2.0</v>
      </c>
      <c r="H172" s="2">
        <v>4.0</v>
      </c>
      <c r="I172" s="5" t="s">
        <v>921</v>
      </c>
      <c r="J172" s="5" t="str">
        <f>IFERROR(__xludf.DUMMYFUNCTION("""COMPUTED_VALUE"""),"https://drive.google.com/thumbnail?id=19Cp41SX_F_0AmFeilEdCZhl6W1gJZ2Fy&amp;sz=s1000")</f>
        <v>https://drive.google.com/thumbnail?id=19Cp41SX_F_0AmFeilEdCZhl6W1gJZ2Fy&amp;sz=s1000</v>
      </c>
      <c r="K172" s="6" t="s">
        <v>922</v>
      </c>
      <c r="L172" s="6"/>
      <c r="M172" s="2" t="s">
        <v>139</v>
      </c>
      <c r="O172" s="7" t="s">
        <v>923</v>
      </c>
    </row>
    <row r="173">
      <c r="A173" s="2">
        <v>172.0</v>
      </c>
      <c r="B173" s="2" t="s">
        <v>924</v>
      </c>
      <c r="C173" s="2" t="s">
        <v>19</v>
      </c>
      <c r="D173" s="2" t="s">
        <v>53</v>
      </c>
      <c r="E173" s="2" t="s">
        <v>82</v>
      </c>
      <c r="F173" s="2">
        <v>6.0</v>
      </c>
      <c r="G173" s="2">
        <v>2.0</v>
      </c>
      <c r="H173" s="2">
        <v>5.0</v>
      </c>
      <c r="I173" s="5" t="s">
        <v>925</v>
      </c>
      <c r="J173" s="5" t="str">
        <f>IFERROR(__xludf.DUMMYFUNCTION("""COMPUTED_VALUE"""),"https://drive.google.com/thumbnail?id=19BMjgKo7JeOVdaouuQ2hq7qevpFmjdrG&amp;sz=s1000")</f>
        <v>https://drive.google.com/thumbnail?id=19BMjgKo7JeOVdaouuQ2hq7qevpFmjdrG&amp;sz=s1000</v>
      </c>
      <c r="K173" s="6" t="s">
        <v>926</v>
      </c>
      <c r="L173" s="6"/>
      <c r="M173" s="2" t="s">
        <v>139</v>
      </c>
      <c r="O173" s="7" t="s">
        <v>927</v>
      </c>
    </row>
    <row r="174">
      <c r="A174" s="2">
        <v>173.0</v>
      </c>
      <c r="B174" s="2" t="s">
        <v>928</v>
      </c>
      <c r="C174" s="2" t="s">
        <v>19</v>
      </c>
      <c r="D174" s="2" t="s">
        <v>39</v>
      </c>
      <c r="E174" s="2" t="s">
        <v>82</v>
      </c>
      <c r="F174" s="2">
        <v>5.0</v>
      </c>
      <c r="G174" s="2">
        <v>2.0</v>
      </c>
      <c r="H174" s="2">
        <v>4.0</v>
      </c>
      <c r="I174" s="5" t="s">
        <v>929</v>
      </c>
      <c r="J174" s="5" t="str">
        <f>IFERROR(__xludf.DUMMYFUNCTION("""COMPUTED_VALUE"""),"https://drive.google.com/thumbnail?id=19r08Ikahg8rUo1WD_xHM8EafR8J1cJPp&amp;sz=s1000")</f>
        <v>https://drive.google.com/thumbnail?id=19r08Ikahg8rUo1WD_xHM8EafR8J1cJPp&amp;sz=s1000</v>
      </c>
      <c r="K174" s="6" t="s">
        <v>930</v>
      </c>
      <c r="L174" s="6"/>
      <c r="M174" s="2" t="s">
        <v>139</v>
      </c>
      <c r="N174" s="9" t="s">
        <v>851</v>
      </c>
      <c r="O174" s="7" t="s">
        <v>931</v>
      </c>
    </row>
    <row r="175">
      <c r="A175" s="2">
        <v>174.0</v>
      </c>
      <c r="B175" s="2" t="s">
        <v>932</v>
      </c>
      <c r="C175" s="2" t="s">
        <v>28</v>
      </c>
      <c r="D175" s="2" t="s">
        <v>47</v>
      </c>
      <c r="E175" s="2" t="s">
        <v>24</v>
      </c>
      <c r="F175" s="2">
        <v>5.0</v>
      </c>
      <c r="G175" s="2">
        <v>2.0</v>
      </c>
      <c r="H175" s="2">
        <v>3.0</v>
      </c>
      <c r="I175" s="5" t="s">
        <v>933</v>
      </c>
      <c r="J175" s="5" t="str">
        <f>IFERROR(__xludf.DUMMYFUNCTION("""COMPUTED_VALUE"""),"https://drive.google.com/thumbnail?id=19qrpYZIV7R-ZNjmamxJlueBLEO-hsnlA&amp;sz=s1000")</f>
        <v>https://drive.google.com/thumbnail?id=19qrpYZIV7R-ZNjmamxJlueBLEO-hsnlA&amp;sz=s1000</v>
      </c>
      <c r="K175" s="6" t="s">
        <v>934</v>
      </c>
      <c r="L175" s="6"/>
      <c r="M175" s="2" t="s">
        <v>139</v>
      </c>
      <c r="O175" s="7" t="s">
        <v>935</v>
      </c>
    </row>
    <row r="176">
      <c r="A176" s="2">
        <v>175.0</v>
      </c>
      <c r="B176" s="2" t="s">
        <v>936</v>
      </c>
      <c r="C176" s="2" t="s">
        <v>19</v>
      </c>
      <c r="D176" s="2" t="s">
        <v>57</v>
      </c>
      <c r="E176" s="2" t="s">
        <v>68</v>
      </c>
      <c r="F176" s="2">
        <v>4.0</v>
      </c>
      <c r="G176" s="2">
        <v>2.0</v>
      </c>
      <c r="H176" s="2">
        <v>4.0</v>
      </c>
      <c r="I176" s="5" t="s">
        <v>937</v>
      </c>
      <c r="J176" s="5" t="str">
        <f>IFERROR(__xludf.DUMMYFUNCTION("""COMPUTED_VALUE"""),"https://drive.google.com/thumbnail?id=19o75ANXVl7ktuqGvBDaNwC2-iIFkS3lI&amp;sz=s1000")</f>
        <v>https://drive.google.com/thumbnail?id=19o75ANXVl7ktuqGvBDaNwC2-iIFkS3lI&amp;sz=s1000</v>
      </c>
      <c r="K176" s="6" t="s">
        <v>938</v>
      </c>
      <c r="L176" s="6"/>
      <c r="M176" s="2" t="s">
        <v>139</v>
      </c>
      <c r="N176" s="2" t="s">
        <v>939</v>
      </c>
      <c r="O176" s="7" t="s">
        <v>940</v>
      </c>
    </row>
    <row r="177">
      <c r="A177" s="2">
        <v>176.0</v>
      </c>
      <c r="B177" s="2" t="s">
        <v>941</v>
      </c>
      <c r="C177" s="2" t="s">
        <v>32</v>
      </c>
      <c r="D177" s="2" t="s">
        <v>39</v>
      </c>
      <c r="E177" s="2" t="s">
        <v>79</v>
      </c>
      <c r="F177" s="2">
        <v>4.0</v>
      </c>
      <c r="G177" s="2">
        <v>2.0</v>
      </c>
      <c r="H177" s="2">
        <v>4.0</v>
      </c>
      <c r="I177" s="5" t="s">
        <v>942</v>
      </c>
      <c r="J177" s="5" t="str">
        <f>IFERROR(__xludf.DUMMYFUNCTION("""COMPUTED_VALUE"""),"https://drive.google.com/thumbnail?id=19kyP2ARfiazfv4j6ixeBgYWz8UsbVfqU&amp;sz=s1000")</f>
        <v>https://drive.google.com/thumbnail?id=19kyP2ARfiazfv4j6ixeBgYWz8UsbVfqU&amp;sz=s1000</v>
      </c>
      <c r="K177" s="6" t="s">
        <v>943</v>
      </c>
      <c r="L177" s="6"/>
      <c r="M177" s="2" t="s">
        <v>139</v>
      </c>
      <c r="O177" s="7" t="s">
        <v>944</v>
      </c>
    </row>
    <row r="178">
      <c r="A178" s="2">
        <v>177.0</v>
      </c>
      <c r="B178" s="2" t="s">
        <v>945</v>
      </c>
      <c r="C178" s="2" t="s">
        <v>32</v>
      </c>
      <c r="D178" s="2" t="s">
        <v>39</v>
      </c>
      <c r="E178" s="2" t="s">
        <v>79</v>
      </c>
      <c r="F178" s="2">
        <v>6.0</v>
      </c>
      <c r="G178" s="2">
        <v>2.0</v>
      </c>
      <c r="H178" s="2">
        <v>4.0</v>
      </c>
      <c r="I178" s="5" t="s">
        <v>946</v>
      </c>
      <c r="J178" s="5" t="str">
        <f>IFERROR(__xludf.DUMMYFUNCTION("""COMPUTED_VALUE"""),"https://drive.google.com/thumbnail?id=19hr4sAGOMk7YHM4zVmPk38SPhNFH3Xfp&amp;sz=s1000")</f>
        <v>https://drive.google.com/thumbnail?id=19hr4sAGOMk7YHM4zVmPk38SPhNFH3Xfp&amp;sz=s1000</v>
      </c>
      <c r="K178" s="6" t="s">
        <v>947</v>
      </c>
      <c r="L178" s="6"/>
      <c r="M178" s="2" t="s">
        <v>139</v>
      </c>
      <c r="N178" s="2" t="s">
        <v>948</v>
      </c>
      <c r="O178" s="7" t="s">
        <v>949</v>
      </c>
    </row>
    <row r="179">
      <c r="A179" s="2">
        <v>178.0</v>
      </c>
      <c r="B179" s="2" t="s">
        <v>950</v>
      </c>
      <c r="C179" s="2" t="s">
        <v>12</v>
      </c>
      <c r="D179" s="2" t="s">
        <v>47</v>
      </c>
      <c r="E179" s="2" t="s">
        <v>54</v>
      </c>
      <c r="F179" s="2">
        <v>5.0</v>
      </c>
      <c r="G179" s="2">
        <v>1.0</v>
      </c>
      <c r="H179" s="2">
        <v>1.0</v>
      </c>
      <c r="I179" s="5" t="s">
        <v>951</v>
      </c>
      <c r="J179" s="5" t="str">
        <f>IFERROR(__xludf.DUMMYFUNCTION("""COMPUTED_VALUE"""),"https://drive.google.com/thumbnail?id=19YkpnsHvo5HgzRZ6FWnnsLFfGOYIMwE5&amp;sz=s1000")</f>
        <v>https://drive.google.com/thumbnail?id=19YkpnsHvo5HgzRZ6FWnnsLFfGOYIMwE5&amp;sz=s1000</v>
      </c>
      <c r="K179" s="6" t="s">
        <v>952</v>
      </c>
      <c r="L179" s="6"/>
      <c r="M179" s="2" t="s">
        <v>139</v>
      </c>
      <c r="O179" s="7" t="s">
        <v>953</v>
      </c>
    </row>
    <row r="180">
      <c r="A180" s="2">
        <v>179.0</v>
      </c>
      <c r="B180" s="2" t="s">
        <v>954</v>
      </c>
      <c r="C180" s="2" t="s">
        <v>21</v>
      </c>
      <c r="D180" s="2" t="s">
        <v>39</v>
      </c>
      <c r="E180" s="2" t="s">
        <v>54</v>
      </c>
      <c r="F180" s="2">
        <v>4.0</v>
      </c>
      <c r="G180" s="2">
        <v>1.0</v>
      </c>
      <c r="H180" s="2">
        <v>1.0</v>
      </c>
      <c r="I180" s="5" t="s">
        <v>955</v>
      </c>
      <c r="J180" s="5" t="str">
        <f>IFERROR(__xludf.DUMMYFUNCTION("""COMPUTED_VALUE"""),"https://drive.google.com/thumbnail?id=19WMIEfAAIqnKiZGVYVFl3jHVt0dhYIuP&amp;sz=s1000")</f>
        <v>https://drive.google.com/thumbnail?id=19WMIEfAAIqnKiZGVYVFl3jHVt0dhYIuP&amp;sz=s1000</v>
      </c>
      <c r="K180" s="6" t="s">
        <v>956</v>
      </c>
      <c r="L180" s="6"/>
      <c r="M180" s="2" t="s">
        <v>139</v>
      </c>
      <c r="N180" s="2" t="s">
        <v>957</v>
      </c>
      <c r="O180" s="7" t="s">
        <v>958</v>
      </c>
    </row>
    <row r="181">
      <c r="A181" s="2">
        <v>180.0</v>
      </c>
      <c r="B181" s="2" t="s">
        <v>959</v>
      </c>
      <c r="C181" s="2" t="s">
        <v>12</v>
      </c>
      <c r="D181" s="2" t="s">
        <v>53</v>
      </c>
      <c r="E181" s="2" t="s">
        <v>88</v>
      </c>
      <c r="F181" s="2">
        <v>7.0</v>
      </c>
      <c r="G181" s="2">
        <v>2.0</v>
      </c>
      <c r="H181" s="2">
        <v>8.0</v>
      </c>
      <c r="I181" s="5" t="s">
        <v>960</v>
      </c>
      <c r="J181" s="5" t="str">
        <f>IFERROR(__xludf.DUMMYFUNCTION("""COMPUTED_VALUE"""),"https://drive.google.com/thumbnail?id=19QtXspFHOJJoQB8iWweEN5vHap8BBCXJ&amp;sz=s1000")</f>
        <v>https://drive.google.com/thumbnail?id=19QtXspFHOJJoQB8iWweEN5vHap8BBCXJ&amp;sz=s1000</v>
      </c>
      <c r="K181" s="6" t="s">
        <v>961</v>
      </c>
      <c r="L181" s="6"/>
      <c r="M181" s="2" t="s">
        <v>139</v>
      </c>
      <c r="O181" s="7" t="s">
        <v>962</v>
      </c>
    </row>
    <row r="182">
      <c r="A182" s="2">
        <v>181.0</v>
      </c>
      <c r="B182" s="2" t="s">
        <v>963</v>
      </c>
      <c r="C182" s="2" t="s">
        <v>19</v>
      </c>
      <c r="D182" s="2" t="s">
        <v>47</v>
      </c>
      <c r="E182" s="2" t="s">
        <v>68</v>
      </c>
      <c r="F182" s="2">
        <v>3.0</v>
      </c>
      <c r="G182" s="2">
        <v>1.0</v>
      </c>
      <c r="H182" s="2">
        <v>4.0</v>
      </c>
      <c r="I182" s="5" t="s">
        <v>964</v>
      </c>
      <c r="J182" s="5" t="str">
        <f>IFERROR(__xludf.DUMMYFUNCTION("""COMPUTED_VALUE"""),"https://drive.google.com/thumbnail?id=19IzyFAFsUKDq1YcFJxlqDduC9kXTwosE&amp;sz=s1000")</f>
        <v>https://drive.google.com/thumbnail?id=19IzyFAFsUKDq1YcFJxlqDduC9kXTwosE&amp;sz=s1000</v>
      </c>
      <c r="K182" s="6" t="s">
        <v>965</v>
      </c>
      <c r="L182" s="6"/>
      <c r="M182" s="2" t="s">
        <v>139</v>
      </c>
      <c r="N182" s="2" t="s">
        <v>966</v>
      </c>
      <c r="O182" s="7" t="s">
        <v>967</v>
      </c>
    </row>
    <row r="183">
      <c r="A183" s="2">
        <v>182.0</v>
      </c>
      <c r="B183" s="2" t="s">
        <v>968</v>
      </c>
      <c r="C183" s="2" t="s">
        <v>34</v>
      </c>
      <c r="D183" s="2" t="s">
        <v>57</v>
      </c>
      <c r="E183" s="2" t="s">
        <v>34</v>
      </c>
      <c r="F183" s="2">
        <v>3.0</v>
      </c>
      <c r="G183" s="2">
        <v>1.0</v>
      </c>
      <c r="H183" s="2">
        <v>1.0</v>
      </c>
      <c r="I183" s="5" t="s">
        <v>969</v>
      </c>
      <c r="J183" s="5" t="str">
        <f>IFERROR(__xludf.DUMMYFUNCTION("""COMPUTED_VALUE"""),"https://drive.google.com/thumbnail?id=1AASeMy6slP2duuAxeBDXID4PC4zIvYmc&amp;sz=s1000")</f>
        <v>https://drive.google.com/thumbnail?id=1AASeMy6slP2duuAxeBDXID4PC4zIvYmc&amp;sz=s1000</v>
      </c>
      <c r="K183" s="6" t="s">
        <v>970</v>
      </c>
      <c r="L183" s="6"/>
      <c r="M183" s="2" t="s">
        <v>139</v>
      </c>
      <c r="N183" s="2" t="s">
        <v>971</v>
      </c>
      <c r="O183" s="7" t="s">
        <v>972</v>
      </c>
    </row>
    <row r="184">
      <c r="A184" s="2">
        <v>183.0</v>
      </c>
      <c r="B184" s="2" t="s">
        <v>973</v>
      </c>
      <c r="C184" s="2" t="s">
        <v>24</v>
      </c>
      <c r="D184" s="2" t="s">
        <v>47</v>
      </c>
      <c r="E184" s="2" t="s">
        <v>77</v>
      </c>
      <c r="F184" s="2">
        <v>4.0</v>
      </c>
      <c r="G184" s="2">
        <v>3.0</v>
      </c>
      <c r="H184" s="2">
        <v>6.0</v>
      </c>
      <c r="I184" s="5" t="s">
        <v>974</v>
      </c>
      <c r="J184" s="5" t="str">
        <f>IFERROR(__xludf.DUMMYFUNCTION("""COMPUTED_VALUE"""),"https://drive.google.com/thumbnail?id=1A4ZnqzT3QAXsY2s5wGMZiS49gT6iXydI&amp;sz=s1000")</f>
        <v>https://drive.google.com/thumbnail?id=1A4ZnqzT3QAXsY2s5wGMZiS49gT6iXydI&amp;sz=s1000</v>
      </c>
      <c r="K184" s="6" t="s">
        <v>975</v>
      </c>
      <c r="L184" s="6"/>
      <c r="M184" s="2" t="s">
        <v>139</v>
      </c>
      <c r="O184" s="7" t="s">
        <v>976</v>
      </c>
    </row>
    <row r="185">
      <c r="A185" s="2">
        <v>184.0</v>
      </c>
      <c r="B185" s="2" t="s">
        <v>977</v>
      </c>
      <c r="C185" s="2" t="s">
        <v>19</v>
      </c>
      <c r="D185" s="2" t="s">
        <v>39</v>
      </c>
      <c r="E185" s="2" t="s">
        <v>82</v>
      </c>
      <c r="F185" s="2">
        <v>7.0</v>
      </c>
      <c r="G185" s="2">
        <v>2.0</v>
      </c>
      <c r="H185" s="2">
        <v>4.0</v>
      </c>
      <c r="I185" s="5" t="s">
        <v>978</v>
      </c>
      <c r="J185" s="5" t="str">
        <f>IFERROR(__xludf.DUMMYFUNCTION("""COMPUTED_VALUE"""),"https://drive.google.com/thumbnail?id=19xt1QITJXpuhldR6UaHxkeFqQKshLtuN&amp;sz=s1000")</f>
        <v>https://drive.google.com/thumbnail?id=19xt1QITJXpuhldR6UaHxkeFqQKshLtuN&amp;sz=s1000</v>
      </c>
      <c r="K185" s="6" t="s">
        <v>979</v>
      </c>
      <c r="L185" s="6"/>
      <c r="M185" s="2" t="s">
        <v>139</v>
      </c>
      <c r="N185" s="2" t="s">
        <v>980</v>
      </c>
      <c r="O185" s="7" t="s">
        <v>981</v>
      </c>
    </row>
    <row r="186">
      <c r="A186" s="2">
        <v>185.0</v>
      </c>
      <c r="B186" s="2" t="s">
        <v>982</v>
      </c>
      <c r="C186" s="2" t="s">
        <v>36</v>
      </c>
      <c r="D186" s="3"/>
      <c r="E186" s="3"/>
      <c r="F186" s="2">
        <v>3.0</v>
      </c>
      <c r="G186" s="2">
        <v>1.0</v>
      </c>
      <c r="H186" s="2">
        <v>1.0</v>
      </c>
      <c r="I186" s="5" t="s">
        <v>983</v>
      </c>
      <c r="J186" s="5" t="str">
        <f>IFERROR(__xludf.DUMMYFUNCTION("""COMPUTED_VALUE"""),"https://drive.google.com/thumbnail?id=1ADce0ydhIS6d_5kKkzROMpULsHW5Ch_N&amp;sz=s1000")</f>
        <v>https://drive.google.com/thumbnail?id=1ADce0ydhIS6d_5kKkzROMpULsHW5Ch_N&amp;sz=s1000</v>
      </c>
      <c r="K186" s="6" t="s">
        <v>984</v>
      </c>
      <c r="L186" s="6"/>
      <c r="M186" s="2" t="s">
        <v>139</v>
      </c>
      <c r="O186" s="7" t="s">
        <v>985</v>
      </c>
    </row>
    <row r="187">
      <c r="A187" s="2">
        <v>186.0</v>
      </c>
      <c r="B187" s="2" t="s">
        <v>986</v>
      </c>
      <c r="C187" s="2" t="s">
        <v>36</v>
      </c>
      <c r="D187" s="3"/>
      <c r="E187" s="3"/>
      <c r="F187" s="2">
        <v>3.0</v>
      </c>
      <c r="G187" s="2">
        <v>1.0</v>
      </c>
      <c r="H187" s="2">
        <v>1.0</v>
      </c>
      <c r="I187" s="5" t="s">
        <v>987</v>
      </c>
      <c r="J187" s="5" t="str">
        <f>IFERROR(__xludf.DUMMYFUNCTION("""COMPUTED_VALUE"""),"https://drive.google.com/thumbnail?id=1AE_V3kITnqXKt5N0DDCdnXY_ZW6LkGcE&amp;sz=s1000")</f>
        <v>https://drive.google.com/thumbnail?id=1AE_V3kITnqXKt5N0DDCdnXY_ZW6LkGcE&amp;sz=s1000</v>
      </c>
      <c r="K187" s="6" t="s">
        <v>988</v>
      </c>
      <c r="L187" s="6"/>
      <c r="M187" s="2" t="s">
        <v>139</v>
      </c>
      <c r="O187" s="7" t="s">
        <v>989</v>
      </c>
    </row>
    <row r="188">
      <c r="A188" s="2">
        <v>187.0</v>
      </c>
      <c r="B188" s="2" t="s">
        <v>990</v>
      </c>
      <c r="C188" s="2" t="s">
        <v>17</v>
      </c>
      <c r="D188" s="2" t="s">
        <v>39</v>
      </c>
      <c r="E188" s="2" t="s">
        <v>98</v>
      </c>
      <c r="F188" s="2">
        <v>7.0</v>
      </c>
      <c r="G188" s="2">
        <v>2.0</v>
      </c>
      <c r="H188" s="2">
        <v>4.0</v>
      </c>
      <c r="I188" s="5" t="s">
        <v>991</v>
      </c>
      <c r="J188" s="5" t="str">
        <f>IFERROR(__xludf.DUMMYFUNCTION("""COMPUTED_VALUE"""),"https://drive.google.com/thumbnail?id=1AZj2LhMmdXE4eNJyabzZC0fy-vg5nK4X&amp;sz=s1000")</f>
        <v>https://drive.google.com/thumbnail?id=1AZj2LhMmdXE4eNJyabzZC0fy-vg5nK4X&amp;sz=s1000</v>
      </c>
      <c r="K188" s="6" t="s">
        <v>992</v>
      </c>
      <c r="L188" s="6"/>
      <c r="M188" s="2" t="s">
        <v>139</v>
      </c>
      <c r="N188" s="2" t="s">
        <v>993</v>
      </c>
      <c r="O188" s="7" t="s">
        <v>994</v>
      </c>
    </row>
    <row r="189">
      <c r="A189" s="2">
        <v>188.0</v>
      </c>
      <c r="B189" s="2" t="s">
        <v>995</v>
      </c>
      <c r="C189" s="2" t="s">
        <v>19</v>
      </c>
      <c r="D189" s="2" t="s">
        <v>39</v>
      </c>
      <c r="E189" s="2" t="s">
        <v>82</v>
      </c>
      <c r="F189" s="2">
        <v>6.0</v>
      </c>
      <c r="G189" s="2">
        <v>1.0</v>
      </c>
      <c r="H189" s="2">
        <v>6.0</v>
      </c>
      <c r="I189" s="5" t="s">
        <v>996</v>
      </c>
      <c r="J189" s="5" t="str">
        <f>IFERROR(__xludf.DUMMYFUNCTION("""COMPUTED_VALUE"""),"https://drive.google.com/thumbnail?id=1AWWCLN_nAIXxtc8_-xEWe2Ey-XoFnNgc&amp;sz=s1000")</f>
        <v>https://drive.google.com/thumbnail?id=1AWWCLN_nAIXxtc8_-xEWe2Ey-XoFnNgc&amp;sz=s1000</v>
      </c>
      <c r="K189" s="6" t="s">
        <v>997</v>
      </c>
      <c r="L189" s="6"/>
      <c r="M189" s="2" t="s">
        <v>143</v>
      </c>
      <c r="N189" s="2" t="s">
        <v>998</v>
      </c>
      <c r="O189" s="7" t="s">
        <v>999</v>
      </c>
    </row>
    <row r="190">
      <c r="A190" s="2">
        <v>189.0</v>
      </c>
      <c r="B190" s="2" t="s">
        <v>1000</v>
      </c>
      <c r="C190" s="2" t="s">
        <v>19</v>
      </c>
      <c r="D190" s="2" t="s">
        <v>39</v>
      </c>
      <c r="E190" s="2" t="s">
        <v>58</v>
      </c>
      <c r="F190" s="2">
        <v>7.0</v>
      </c>
      <c r="G190" s="2">
        <v>2.0</v>
      </c>
      <c r="H190" s="2">
        <v>4.0</v>
      </c>
      <c r="I190" s="5" t="s">
        <v>1001</v>
      </c>
      <c r="J190" s="5" t="str">
        <f>IFERROR(__xludf.DUMMYFUNCTION("""COMPUTED_VALUE"""),"https://drive.google.com/thumbnail?id=1APippBM3wV79nRW3LWNyA_vzDz3AD7E5&amp;sz=s1000")</f>
        <v>https://drive.google.com/thumbnail?id=1APippBM3wV79nRW3LWNyA_vzDz3AD7E5&amp;sz=s1000</v>
      </c>
      <c r="K190" s="6" t="s">
        <v>1002</v>
      </c>
      <c r="L190" s="6"/>
      <c r="M190" s="2" t="s">
        <v>139</v>
      </c>
      <c r="O190" s="7" t="s">
        <v>1003</v>
      </c>
    </row>
    <row r="191">
      <c r="A191" s="2">
        <v>190.0</v>
      </c>
      <c r="B191" s="2" t="s">
        <v>1004</v>
      </c>
      <c r="C191" s="2" t="s">
        <v>17</v>
      </c>
      <c r="D191" s="2" t="s">
        <v>39</v>
      </c>
      <c r="E191" s="2" t="s">
        <v>98</v>
      </c>
      <c r="F191" s="2">
        <v>8.0</v>
      </c>
      <c r="G191" s="2">
        <v>2.0</v>
      </c>
      <c r="H191" s="2">
        <v>8.0</v>
      </c>
      <c r="I191" s="5" t="s">
        <v>1005</v>
      </c>
      <c r="J191" s="5" t="str">
        <f>IFERROR(__xludf.DUMMYFUNCTION("""COMPUTED_VALUE"""),"https://drive.google.com/thumbnail?id=1AGLblvO35IwkpYh6FLaJCnuOmnmWO8fq&amp;sz=s1000")</f>
        <v>https://drive.google.com/thumbnail?id=1AGLblvO35IwkpYh6FLaJCnuOmnmWO8fq&amp;sz=s1000</v>
      </c>
      <c r="K191" s="6" t="s">
        <v>1006</v>
      </c>
      <c r="L191" s="6"/>
      <c r="M191" s="2" t="s">
        <v>139</v>
      </c>
      <c r="N191" s="5" t="s">
        <v>1007</v>
      </c>
      <c r="O191" s="7" t="s">
        <v>1008</v>
      </c>
    </row>
    <row r="192">
      <c r="A192" s="2">
        <v>191.0</v>
      </c>
      <c r="B192" s="2" t="s">
        <v>1009</v>
      </c>
      <c r="C192" s="2" t="s">
        <v>19</v>
      </c>
      <c r="D192" s="2" t="s">
        <v>39</v>
      </c>
      <c r="E192" s="2" t="s">
        <v>124</v>
      </c>
      <c r="F192" s="2">
        <v>6.0</v>
      </c>
      <c r="G192" s="2">
        <v>1.0</v>
      </c>
      <c r="H192" s="2">
        <v>1.0</v>
      </c>
      <c r="I192" s="5" t="s">
        <v>1010</v>
      </c>
      <c r="J192" s="5" t="str">
        <f>IFERROR(__xludf.DUMMYFUNCTION("""COMPUTED_VALUE"""),"https://drive.google.com/thumbnail?id=1AFwEdoTyE2-lyDkQQG7FgB5u3zXgQTi-&amp;sz=s1000")</f>
        <v>https://drive.google.com/thumbnail?id=1AFwEdoTyE2-lyDkQQG7FgB5u3zXgQTi-&amp;sz=s1000</v>
      </c>
      <c r="K192" s="6" t="s">
        <v>1011</v>
      </c>
      <c r="L192" s="6"/>
      <c r="M192" s="2" t="s">
        <v>139</v>
      </c>
      <c r="N192" s="2" t="s">
        <v>1012</v>
      </c>
      <c r="O192" s="7" t="s">
        <v>1013</v>
      </c>
    </row>
    <row r="193">
      <c r="A193" s="2">
        <v>192.0</v>
      </c>
      <c r="B193" s="2" t="s">
        <v>1014</v>
      </c>
      <c r="C193" s="2" t="s">
        <v>19</v>
      </c>
      <c r="D193" s="2" t="s">
        <v>39</v>
      </c>
      <c r="E193" s="2" t="s">
        <v>79</v>
      </c>
      <c r="F193" s="2">
        <v>6.0</v>
      </c>
      <c r="G193" s="2">
        <v>1.0</v>
      </c>
      <c r="H193" s="2">
        <v>1.0</v>
      </c>
      <c r="I193" s="5" t="s">
        <v>1015</v>
      </c>
      <c r="J193" s="5" t="str">
        <f>IFERROR(__xludf.DUMMYFUNCTION("""COMPUTED_VALUE"""),"https://drive.google.com/thumbnail?id=1AchBz_BChaGFWJavtWFwGR1S0TgSDTxf&amp;sz=s1000")</f>
        <v>https://drive.google.com/thumbnail?id=1AchBz_BChaGFWJavtWFwGR1S0TgSDTxf&amp;sz=s1000</v>
      </c>
      <c r="K193" s="6" t="s">
        <v>1016</v>
      </c>
      <c r="L193" s="6"/>
      <c r="M193" s="2" t="s">
        <v>139</v>
      </c>
      <c r="N193" s="2"/>
      <c r="O193" s="7" t="s">
        <v>1017</v>
      </c>
    </row>
    <row r="194">
      <c r="A194" s="2">
        <v>193.0</v>
      </c>
      <c r="B194" s="2" t="s">
        <v>1018</v>
      </c>
      <c r="C194" s="2" t="s">
        <v>19</v>
      </c>
      <c r="D194" s="2" t="s">
        <v>39</v>
      </c>
      <c r="E194" s="2" t="s">
        <v>122</v>
      </c>
      <c r="F194" s="2">
        <v>7.0</v>
      </c>
      <c r="G194" s="2">
        <v>1.0</v>
      </c>
      <c r="H194" s="2">
        <v>1.0</v>
      </c>
      <c r="I194" s="5" t="s">
        <v>1019</v>
      </c>
      <c r="J194" s="5" t="str">
        <f>IFERROR(__xludf.DUMMYFUNCTION("""COMPUTED_VALUE"""),"https://drive.google.com/thumbnail?id=1AemM4RJYalF2hp-quV9Vhv5gvYjEb6U_&amp;sz=s1000")</f>
        <v>https://drive.google.com/thumbnail?id=1AemM4RJYalF2hp-quV9Vhv5gvYjEb6U_&amp;sz=s1000</v>
      </c>
      <c r="K194" s="6" t="s">
        <v>1020</v>
      </c>
      <c r="L194" s="6"/>
      <c r="M194" s="2" t="s">
        <v>139</v>
      </c>
      <c r="N194" s="2" t="s">
        <v>1021</v>
      </c>
      <c r="O194" s="7" t="s">
        <v>1022</v>
      </c>
    </row>
    <row r="195">
      <c r="A195" s="2">
        <v>194.0</v>
      </c>
      <c r="B195" s="2" t="s">
        <v>1023</v>
      </c>
      <c r="C195" s="2" t="s">
        <v>17</v>
      </c>
      <c r="D195" s="2" t="s">
        <v>41</v>
      </c>
      <c r="E195" s="2" t="s">
        <v>98</v>
      </c>
      <c r="F195" s="2">
        <v>7.0</v>
      </c>
      <c r="G195" s="2">
        <v>1.0</v>
      </c>
      <c r="H195" s="2">
        <v>1.0</v>
      </c>
      <c r="I195" s="5" t="s">
        <v>1024</v>
      </c>
      <c r="J195" s="5" t="str">
        <f>IFERROR(__xludf.DUMMYFUNCTION("""COMPUTED_VALUE"""),"https://drive.google.com/thumbnail?id=1AeSq5ZEcizCfFUufveR9w52um6myvqZa&amp;sz=s1000")</f>
        <v>https://drive.google.com/thumbnail?id=1AeSq5ZEcizCfFUufveR9w52um6myvqZa&amp;sz=s1000</v>
      </c>
      <c r="K195" s="6" t="s">
        <v>1025</v>
      </c>
      <c r="L195" s="6"/>
      <c r="M195" s="2" t="s">
        <v>139</v>
      </c>
      <c r="O195" s="7" t="s">
        <v>1026</v>
      </c>
    </row>
    <row r="196">
      <c r="A196" s="2">
        <v>195.0</v>
      </c>
      <c r="B196" s="2" t="s">
        <v>1027</v>
      </c>
      <c r="C196" s="2" t="s">
        <v>19</v>
      </c>
      <c r="D196" s="2" t="s">
        <v>53</v>
      </c>
      <c r="E196" s="2" t="s">
        <v>68</v>
      </c>
      <c r="F196" s="2">
        <v>6.0</v>
      </c>
      <c r="G196" s="2">
        <v>1.0</v>
      </c>
      <c r="H196" s="2">
        <v>6.0</v>
      </c>
      <c r="I196" s="5" t="s">
        <v>1028</v>
      </c>
      <c r="J196" s="5" t="str">
        <f>IFERROR(__xludf.DUMMYFUNCTION("""COMPUTED_VALUE"""),"https://drive.google.com/thumbnail?id=1Ad_vUspE1J80ES6T_alNsFXSrpB02v--&amp;sz=s1000")</f>
        <v>https://drive.google.com/thumbnail?id=1Ad_vUspE1J80ES6T_alNsFXSrpB02v--&amp;sz=s1000</v>
      </c>
      <c r="K196" s="6" t="s">
        <v>1029</v>
      </c>
      <c r="L196" s="6"/>
      <c r="M196" s="2" t="s">
        <v>139</v>
      </c>
      <c r="N196" s="2" t="s">
        <v>1030</v>
      </c>
      <c r="O196" s="7" t="s">
        <v>1031</v>
      </c>
    </row>
    <row r="197">
      <c r="A197" s="2">
        <v>196.0</v>
      </c>
      <c r="B197" s="2" t="s">
        <v>1032</v>
      </c>
      <c r="C197" s="2" t="s">
        <v>24</v>
      </c>
      <c r="D197" s="2" t="s">
        <v>47</v>
      </c>
      <c r="E197" s="2" t="s">
        <v>24</v>
      </c>
      <c r="F197" s="2">
        <v>5.0</v>
      </c>
      <c r="G197" s="2">
        <v>2.0</v>
      </c>
      <c r="H197" s="2">
        <v>4.0</v>
      </c>
      <c r="I197" s="5" t="s">
        <v>1033</v>
      </c>
      <c r="J197" s="5" t="str">
        <f>IFERROR(__xludf.DUMMYFUNCTION("""COMPUTED_VALUE"""),"https://drive.google.com/thumbnail?id=1AieWVsiYDqsYg-58EurDBciJ3-IGECXI&amp;sz=s1000")</f>
        <v>https://drive.google.com/thumbnail?id=1AieWVsiYDqsYg-58EurDBciJ3-IGECXI&amp;sz=s1000</v>
      </c>
      <c r="K197" s="6" t="s">
        <v>1034</v>
      </c>
      <c r="L197" s="6"/>
      <c r="M197" s="2" t="s">
        <v>139</v>
      </c>
      <c r="N197" s="2" t="s">
        <v>1035</v>
      </c>
      <c r="O197" s="7" t="s">
        <v>1036</v>
      </c>
    </row>
    <row r="198">
      <c r="A198" s="2">
        <v>197.0</v>
      </c>
      <c r="B198" s="2" t="s">
        <v>1037</v>
      </c>
      <c r="C198" s="2" t="s">
        <v>30</v>
      </c>
      <c r="D198" s="2" t="s">
        <v>57</v>
      </c>
      <c r="E198" s="2" t="s">
        <v>54</v>
      </c>
      <c r="F198" s="2">
        <v>3.0</v>
      </c>
      <c r="G198" s="2">
        <v>2.0</v>
      </c>
      <c r="H198" s="2">
        <v>4.0</v>
      </c>
      <c r="I198" s="5" t="s">
        <v>1038</v>
      </c>
      <c r="J198" s="5" t="str">
        <f>IFERROR(__xludf.DUMMYFUNCTION("""COMPUTED_VALUE"""),"https://drive.google.com/thumbnail?id=1AjZlmhDkawPJgWGzjl7C7p3kVaClqpdY&amp;sz=s1000")</f>
        <v>https://drive.google.com/thumbnail?id=1AjZlmhDkawPJgWGzjl7C7p3kVaClqpdY&amp;sz=s1000</v>
      </c>
      <c r="K198" s="6" t="s">
        <v>1039</v>
      </c>
      <c r="L198" s="6"/>
      <c r="M198" s="2" t="s">
        <v>139</v>
      </c>
      <c r="N198" s="2" t="s">
        <v>1040</v>
      </c>
      <c r="O198" s="7" t="s">
        <v>1041</v>
      </c>
    </row>
    <row r="199">
      <c r="A199" s="2">
        <v>198.0</v>
      </c>
      <c r="B199" s="2" t="s">
        <v>1042</v>
      </c>
      <c r="C199" s="2" t="s">
        <v>30</v>
      </c>
      <c r="D199" s="2" t="s">
        <v>57</v>
      </c>
      <c r="E199" s="2" t="s">
        <v>77</v>
      </c>
      <c r="F199" s="2">
        <v>4.0</v>
      </c>
      <c r="G199" s="2">
        <v>1.0</v>
      </c>
      <c r="H199" s="2">
        <v>4.0</v>
      </c>
      <c r="I199" s="5" t="s">
        <v>1043</v>
      </c>
      <c r="J199" s="5" t="str">
        <f>IFERROR(__xludf.DUMMYFUNCTION("""COMPUTED_VALUE"""),"https://drive.google.com/thumbnail?id=1AjFBIXquhFGHWF0Ewc-eBQVmwwjKErj5&amp;sz=s1000")</f>
        <v>https://drive.google.com/thumbnail?id=1AjFBIXquhFGHWF0Ewc-eBQVmwwjKErj5&amp;sz=s1000</v>
      </c>
      <c r="K199" s="6" t="s">
        <v>1044</v>
      </c>
      <c r="L199" s="6"/>
      <c r="M199" s="2" t="s">
        <v>139</v>
      </c>
      <c r="N199" s="2" t="s">
        <v>1045</v>
      </c>
      <c r="O199" s="7" t="s">
        <v>1046</v>
      </c>
    </row>
    <row r="200">
      <c r="A200" s="2">
        <v>199.0</v>
      </c>
      <c r="B200" s="2" t="s">
        <v>1047</v>
      </c>
      <c r="C200" s="2" t="s">
        <v>19</v>
      </c>
      <c r="D200" s="2" t="s">
        <v>75</v>
      </c>
      <c r="E200" s="2" t="s">
        <v>58</v>
      </c>
      <c r="F200" s="2">
        <v>5.0</v>
      </c>
      <c r="G200" s="2">
        <v>2.0</v>
      </c>
      <c r="H200" s="2">
        <v>4.0</v>
      </c>
      <c r="I200" s="5" t="s">
        <v>1048</v>
      </c>
      <c r="J200" s="5" t="str">
        <f>IFERROR(__xludf.DUMMYFUNCTION("""COMPUTED_VALUE"""),"https://drive.google.com/thumbnail?id=1B-1RYc972zxY6Zj-81T3omCZqpuWfWUn&amp;sz=s1000")</f>
        <v>https://drive.google.com/thumbnail?id=1B-1RYc972zxY6Zj-81T3omCZqpuWfWUn&amp;sz=s1000</v>
      </c>
      <c r="K200" s="6" t="s">
        <v>1049</v>
      </c>
      <c r="L200" s="6"/>
      <c r="M200" s="2" t="s">
        <v>139</v>
      </c>
      <c r="O200" s="7" t="s">
        <v>1050</v>
      </c>
    </row>
    <row r="201">
      <c r="A201" s="2">
        <v>200.0</v>
      </c>
      <c r="B201" s="2" t="s">
        <v>1051</v>
      </c>
      <c r="C201" s="2" t="s">
        <v>17</v>
      </c>
      <c r="D201" s="2" t="s">
        <v>41</v>
      </c>
      <c r="E201" s="2" t="s">
        <v>98</v>
      </c>
      <c r="F201" s="2">
        <v>7.0</v>
      </c>
      <c r="G201" s="2">
        <v>2.0</v>
      </c>
      <c r="H201" s="2">
        <v>8.0</v>
      </c>
      <c r="I201" s="5" t="s">
        <v>1052</v>
      </c>
      <c r="J201" s="5" t="str">
        <f>IFERROR(__xludf.DUMMYFUNCTION("""COMPUTED_VALUE"""),"https://drive.google.com/thumbnail?id=1Avlla1l7IOOYnW8Hb1leg3zoIOxxTrwH&amp;sz=s1000")</f>
        <v>https://drive.google.com/thumbnail?id=1Avlla1l7IOOYnW8Hb1leg3zoIOxxTrwH&amp;sz=s1000</v>
      </c>
      <c r="K201" s="6" t="s">
        <v>1053</v>
      </c>
      <c r="L201" s="6"/>
      <c r="M201" s="2" t="s">
        <v>139</v>
      </c>
      <c r="N201" s="2" t="s">
        <v>1054</v>
      </c>
      <c r="O201" s="7" t="s">
        <v>1055</v>
      </c>
    </row>
    <row r="202">
      <c r="A202" s="2">
        <v>201.0</v>
      </c>
      <c r="B202" s="2" t="s">
        <v>1056</v>
      </c>
      <c r="C202" s="2" t="s">
        <v>21</v>
      </c>
      <c r="D202" s="2" t="s">
        <v>39</v>
      </c>
      <c r="E202" s="2" t="s">
        <v>89</v>
      </c>
      <c r="F202" s="2">
        <v>6.0</v>
      </c>
      <c r="G202" s="2">
        <v>1.0</v>
      </c>
      <c r="H202" s="2">
        <v>8.0</v>
      </c>
      <c r="I202" s="5" t="s">
        <v>1057</v>
      </c>
      <c r="J202" s="5" t="str">
        <f>IFERROR(__xludf.DUMMYFUNCTION("""COMPUTED_VALUE"""),"https://drive.google.com/thumbnail?id=1B-PQNAmsJhCQB8icXqHFDMTgyqhqGXmR&amp;sz=s1000")</f>
        <v>https://drive.google.com/thumbnail?id=1B-PQNAmsJhCQB8icXqHFDMTgyqhqGXmR&amp;sz=s1000</v>
      </c>
      <c r="K202" s="6" t="s">
        <v>1058</v>
      </c>
      <c r="L202" s="6"/>
      <c r="M202" s="2" t="s">
        <v>139</v>
      </c>
      <c r="N202" s="9" t="s">
        <v>1059</v>
      </c>
      <c r="O202" s="7" t="s">
        <v>1060</v>
      </c>
    </row>
    <row r="203">
      <c r="A203" s="2">
        <v>202.0</v>
      </c>
      <c r="B203" s="2" t="s">
        <v>1061</v>
      </c>
      <c r="C203" s="2" t="s">
        <v>19</v>
      </c>
      <c r="D203" s="2" t="s">
        <v>45</v>
      </c>
      <c r="E203" s="2" t="s">
        <v>68</v>
      </c>
      <c r="F203" s="2">
        <v>3.0</v>
      </c>
      <c r="G203" s="2">
        <v>1.0</v>
      </c>
      <c r="H203" s="2">
        <v>1.0</v>
      </c>
      <c r="I203" s="5" t="s">
        <v>1062</v>
      </c>
      <c r="J203" s="5" t="str">
        <f>IFERROR(__xludf.DUMMYFUNCTION("""COMPUTED_VALUE"""),"https://drive.google.com/thumbnail?id=1B2SZfhYqE3leUEWl9n2y0aFJy6sYfxYk&amp;sz=s1000")</f>
        <v>https://drive.google.com/thumbnail?id=1B2SZfhYqE3leUEWl9n2y0aFJy6sYfxYk&amp;sz=s1000</v>
      </c>
      <c r="K203" s="6" t="s">
        <v>1063</v>
      </c>
      <c r="L203" s="6"/>
      <c r="M203" s="2" t="s">
        <v>143</v>
      </c>
      <c r="N203" s="2" t="s">
        <v>1064</v>
      </c>
      <c r="O203" s="7" t="s">
        <v>1065</v>
      </c>
    </row>
    <row r="204">
      <c r="A204" s="2">
        <v>203.0</v>
      </c>
      <c r="B204" s="2" t="s">
        <v>1066</v>
      </c>
      <c r="C204" s="2" t="s">
        <v>19</v>
      </c>
      <c r="D204" s="2" t="s">
        <v>47</v>
      </c>
      <c r="E204" s="2" t="s">
        <v>126</v>
      </c>
      <c r="F204" s="2">
        <v>3.0</v>
      </c>
      <c r="G204" s="2">
        <v>1.0</v>
      </c>
      <c r="H204" s="2">
        <v>1.0</v>
      </c>
      <c r="I204" s="5" t="s">
        <v>1067</v>
      </c>
      <c r="J204" s="5" t="str">
        <f>IFERROR(__xludf.DUMMYFUNCTION("""COMPUTED_VALUE"""),"https://drive.google.com/thumbnail?id=1BijuMEdBaWkEFXAhx7j_pjhULt_pe5pY&amp;sz=s1000")</f>
        <v>https://drive.google.com/thumbnail?id=1BijuMEdBaWkEFXAhx7j_pjhULt_pe5pY&amp;sz=s1000</v>
      </c>
      <c r="K204" s="6" t="s">
        <v>1068</v>
      </c>
      <c r="L204" s="6"/>
      <c r="M204" s="2" t="s">
        <v>143</v>
      </c>
      <c r="N204" s="2" t="s">
        <v>1069</v>
      </c>
      <c r="O204" s="7" t="s">
        <v>1070</v>
      </c>
    </row>
    <row r="205">
      <c r="A205" s="2">
        <v>204.0</v>
      </c>
      <c r="B205" s="2" t="s">
        <v>1071</v>
      </c>
      <c r="C205" s="2" t="s">
        <v>19</v>
      </c>
      <c r="D205" s="2" t="s">
        <v>47</v>
      </c>
      <c r="E205" s="2" t="s">
        <v>82</v>
      </c>
      <c r="F205" s="2">
        <v>8.0</v>
      </c>
      <c r="G205" s="2">
        <v>1.0</v>
      </c>
      <c r="H205" s="2">
        <v>10.0</v>
      </c>
      <c r="I205" s="5" t="s">
        <v>1072</v>
      </c>
      <c r="J205" s="5" t="str">
        <f>IFERROR(__xludf.DUMMYFUNCTION("""COMPUTED_VALUE"""),"https://drive.google.com/thumbnail?id=1B3S2-ZdyZblPUvf3T_SXcDeC1N_Lcv0Y&amp;sz=s1000")</f>
        <v>https://drive.google.com/thumbnail?id=1B3S2-ZdyZblPUvf3T_SXcDeC1N_Lcv0Y&amp;sz=s1000</v>
      </c>
      <c r="K205" s="6" t="s">
        <v>1073</v>
      </c>
      <c r="L205" s="6"/>
      <c r="M205" s="2" t="s">
        <v>143</v>
      </c>
      <c r="N205" s="2" t="s">
        <v>1074</v>
      </c>
      <c r="O205" s="7" t="s">
        <v>1075</v>
      </c>
    </row>
    <row r="206">
      <c r="A206" s="2">
        <v>205.0</v>
      </c>
      <c r="B206" s="2" t="s">
        <v>1076</v>
      </c>
      <c r="C206" s="2" t="s">
        <v>19</v>
      </c>
      <c r="D206" s="3"/>
      <c r="E206" s="2" t="s">
        <v>105</v>
      </c>
      <c r="F206" s="2">
        <v>6.0</v>
      </c>
      <c r="G206" s="2">
        <v>1.0</v>
      </c>
      <c r="H206" s="2">
        <v>1.0</v>
      </c>
      <c r="I206" s="5" t="s">
        <v>1077</v>
      </c>
      <c r="J206" s="5" t="str">
        <f>IFERROR(__xludf.DUMMYFUNCTION("""COMPUTED_VALUE"""),"https://drive.google.com/thumbnail?id=1Bk6P9r8XE5u1ZjP0e1NRX840mqoTQdmE&amp;sz=s1000")</f>
        <v>https://drive.google.com/thumbnail?id=1Bk6P9r8XE5u1ZjP0e1NRX840mqoTQdmE&amp;sz=s1000</v>
      </c>
      <c r="K206" s="6" t="s">
        <v>1078</v>
      </c>
      <c r="L206" s="6"/>
      <c r="M206" s="2" t="s">
        <v>143</v>
      </c>
      <c r="N206" s="2" t="s">
        <v>1079</v>
      </c>
      <c r="O206" s="7" t="s">
        <v>1080</v>
      </c>
    </row>
    <row r="207">
      <c r="A207" s="2">
        <v>206.0</v>
      </c>
      <c r="B207" s="2" t="s">
        <v>1081</v>
      </c>
      <c r="C207" s="2" t="s">
        <v>19</v>
      </c>
      <c r="D207" s="2" t="s">
        <v>39</v>
      </c>
      <c r="E207" s="2" t="s">
        <v>82</v>
      </c>
      <c r="F207" s="2">
        <v>3.0</v>
      </c>
      <c r="G207" s="2">
        <v>1.0</v>
      </c>
      <c r="H207" s="2">
        <v>1.0</v>
      </c>
      <c r="I207" s="5" t="s">
        <v>1082</v>
      </c>
      <c r="J207" s="5" t="str">
        <f>IFERROR(__xludf.DUMMYFUNCTION("""COMPUTED_VALUE"""),"https://drive.google.com/thumbnail?id=1Bn8e5rKVJROTqu_0yoe5fFFmzzDEtxkp&amp;sz=s1000")</f>
        <v>https://drive.google.com/thumbnail?id=1Bn8e5rKVJROTqu_0yoe5fFFmzzDEtxkp&amp;sz=s1000</v>
      </c>
      <c r="K207" s="6" t="s">
        <v>1083</v>
      </c>
      <c r="L207" s="6"/>
      <c r="M207" s="2" t="s">
        <v>143</v>
      </c>
      <c r="O207" s="7" t="s">
        <v>1084</v>
      </c>
    </row>
    <row r="208">
      <c r="A208" s="2">
        <v>207.0</v>
      </c>
      <c r="B208" s="2" t="s">
        <v>1085</v>
      </c>
      <c r="C208" s="2" t="s">
        <v>19</v>
      </c>
      <c r="D208" s="2" t="s">
        <v>39</v>
      </c>
      <c r="E208" s="2" t="s">
        <v>82</v>
      </c>
      <c r="F208" s="2">
        <v>3.0</v>
      </c>
      <c r="G208" s="2">
        <v>1.0</v>
      </c>
      <c r="H208" s="2">
        <v>1.0</v>
      </c>
      <c r="I208" s="5" t="s">
        <v>1086</v>
      </c>
      <c r="J208" s="5" t="str">
        <f>IFERROR(__xludf.DUMMYFUNCTION("""COMPUTED_VALUE"""),"https://drive.google.com/thumbnail?id=1BwXOAVg2RJzMdv_NRGbl3j9TmMGL0Xjg&amp;sz=s1000")</f>
        <v>https://drive.google.com/thumbnail?id=1BwXOAVg2RJzMdv_NRGbl3j9TmMGL0Xjg&amp;sz=s1000</v>
      </c>
      <c r="K208" s="6" t="s">
        <v>1087</v>
      </c>
      <c r="L208" s="6"/>
      <c r="M208" s="2" t="s">
        <v>143</v>
      </c>
      <c r="O208" s="7" t="s">
        <v>1088</v>
      </c>
    </row>
    <row r="209">
      <c r="A209" s="2">
        <v>208.0</v>
      </c>
      <c r="B209" s="2" t="s">
        <v>1089</v>
      </c>
      <c r="C209" s="2" t="s">
        <v>12</v>
      </c>
      <c r="D209" s="2" t="s">
        <v>47</v>
      </c>
      <c r="E209" s="2" t="s">
        <v>104</v>
      </c>
      <c r="F209" s="2">
        <v>3.0</v>
      </c>
      <c r="G209" s="2">
        <v>1.0</v>
      </c>
      <c r="H209" s="2">
        <v>4.0</v>
      </c>
      <c r="I209" s="5" t="s">
        <v>1090</v>
      </c>
      <c r="J209" s="5" t="str">
        <f>IFERROR(__xludf.DUMMYFUNCTION("""COMPUTED_VALUE"""),"https://drive.google.com/thumbnail?id=1BujunZl0uxJAxuIANaFGIqUlL0uiY-NG&amp;sz=s1000")</f>
        <v>https://drive.google.com/thumbnail?id=1BujunZl0uxJAxuIANaFGIqUlL0uiY-NG&amp;sz=s1000</v>
      </c>
      <c r="K209" s="6" t="s">
        <v>1091</v>
      </c>
      <c r="L209" s="6"/>
      <c r="M209" s="2" t="s">
        <v>139</v>
      </c>
      <c r="N209" s="2" t="s">
        <v>1092</v>
      </c>
      <c r="O209" s="7" t="s">
        <v>1093</v>
      </c>
    </row>
    <row r="210">
      <c r="A210" s="2">
        <v>209.0</v>
      </c>
      <c r="B210" s="2" t="s">
        <v>1094</v>
      </c>
      <c r="C210" s="2" t="s">
        <v>36</v>
      </c>
      <c r="D210" s="2" t="s">
        <v>47</v>
      </c>
      <c r="E210" s="2" t="s">
        <v>92</v>
      </c>
      <c r="F210" s="2">
        <v>3.0</v>
      </c>
      <c r="G210" s="2">
        <v>1.0</v>
      </c>
      <c r="H210" s="2">
        <v>10.0</v>
      </c>
      <c r="I210" s="5" t="s">
        <v>1095</v>
      </c>
      <c r="J210" s="5" t="str">
        <f>IFERROR(__xludf.DUMMYFUNCTION("""COMPUTED_VALUE"""),"https://drive.google.com/thumbnail?id=1Bs9m8_S13pyTrSbWwMDyeltH2aJzRbRX&amp;sz=s1000")</f>
        <v>https://drive.google.com/thumbnail?id=1Bs9m8_S13pyTrSbWwMDyeltH2aJzRbRX&amp;sz=s1000</v>
      </c>
      <c r="K210" s="6" t="s">
        <v>1096</v>
      </c>
      <c r="L210" s="6"/>
      <c r="M210" s="2" t="s">
        <v>143</v>
      </c>
      <c r="N210" s="2" t="s">
        <v>1097</v>
      </c>
      <c r="O210" s="7" t="s">
        <v>1098</v>
      </c>
    </row>
    <row r="211">
      <c r="A211" s="2">
        <v>210.0</v>
      </c>
      <c r="B211" s="2" t="s">
        <v>1099</v>
      </c>
      <c r="C211" s="2" t="s">
        <v>36</v>
      </c>
      <c r="D211" s="2" t="s">
        <v>47</v>
      </c>
      <c r="E211" s="2" t="s">
        <v>36</v>
      </c>
      <c r="F211" s="2">
        <v>3.0</v>
      </c>
      <c r="G211" s="2">
        <v>1.0</v>
      </c>
      <c r="H211" s="2">
        <v>10.0</v>
      </c>
      <c r="I211" s="5" t="s">
        <v>1100</v>
      </c>
      <c r="J211" s="5" t="str">
        <f>IFERROR(__xludf.DUMMYFUNCTION("""COMPUTED_VALUE"""),"https://drive.google.com/thumbnail?id=1C867dQG2MZFmjHOY2AYMHJqpSYuSjeQo&amp;sz=s1000")</f>
        <v>https://drive.google.com/thumbnail?id=1C867dQG2MZFmjHOY2AYMHJqpSYuSjeQo&amp;sz=s1000</v>
      </c>
      <c r="K211" s="6" t="s">
        <v>1101</v>
      </c>
      <c r="L211" s="6"/>
      <c r="M211" s="2" t="s">
        <v>143</v>
      </c>
      <c r="N211" s="2" t="s">
        <v>1102</v>
      </c>
      <c r="O211" s="7" t="s">
        <v>1103</v>
      </c>
    </row>
    <row r="212">
      <c r="A212" s="2">
        <v>211.0</v>
      </c>
      <c r="B212" s="2" t="s">
        <v>1104</v>
      </c>
      <c r="C212" s="2" t="s">
        <v>19</v>
      </c>
      <c r="D212" s="2" t="s">
        <v>47</v>
      </c>
      <c r="E212" s="2" t="s">
        <v>510</v>
      </c>
      <c r="F212" s="2">
        <v>7.0</v>
      </c>
      <c r="G212" s="2">
        <v>1.0</v>
      </c>
      <c r="H212" s="2">
        <v>1.0</v>
      </c>
      <c r="I212" s="5" t="s">
        <v>1105</v>
      </c>
      <c r="J212" s="5" t="str">
        <f>IFERROR(__xludf.DUMMYFUNCTION("""COMPUTED_VALUE"""),"https://drive.google.com/thumbnail?id=1C74CYQbmMzSvMhpVKtuEe4498QHhTvvV&amp;sz=s1000")</f>
        <v>https://drive.google.com/thumbnail?id=1C74CYQbmMzSvMhpVKtuEe4498QHhTvvV&amp;sz=s1000</v>
      </c>
      <c r="K212" s="6" t="s">
        <v>1106</v>
      </c>
      <c r="L212" s="6"/>
      <c r="M212" s="2" t="s">
        <v>143</v>
      </c>
      <c r="O212" s="7" t="s">
        <v>1107</v>
      </c>
    </row>
    <row r="213">
      <c r="A213" s="2">
        <v>212.0</v>
      </c>
      <c r="B213" s="2" t="s">
        <v>1108</v>
      </c>
      <c r="C213" s="2" t="s">
        <v>19</v>
      </c>
      <c r="D213" s="2" t="s">
        <v>47</v>
      </c>
      <c r="E213" s="2" t="s">
        <v>82</v>
      </c>
      <c r="F213" s="2">
        <v>7.0</v>
      </c>
      <c r="G213" s="2">
        <v>1.0</v>
      </c>
      <c r="H213" s="2">
        <v>1.0</v>
      </c>
      <c r="I213" s="5" t="s">
        <v>1109</v>
      </c>
      <c r="J213" s="5" t="str">
        <f>IFERROR(__xludf.DUMMYFUNCTION("""COMPUTED_VALUE"""),"https://drive.google.com/thumbnail?id=1CAg9ErhqhlfBnjqWEepX5tnVMMXmYYzc&amp;sz=s1000")</f>
        <v>https://drive.google.com/thumbnail?id=1CAg9ErhqhlfBnjqWEepX5tnVMMXmYYzc&amp;sz=s1000</v>
      </c>
      <c r="K213" s="6" t="s">
        <v>1110</v>
      </c>
      <c r="L213" s="6"/>
      <c r="M213" s="2" t="s">
        <v>143</v>
      </c>
      <c r="O213" s="7" t="s">
        <v>1111</v>
      </c>
    </row>
    <row r="214">
      <c r="A214" s="2">
        <v>213.0</v>
      </c>
      <c r="B214" s="2" t="s">
        <v>1112</v>
      </c>
      <c r="C214" s="2" t="s">
        <v>19</v>
      </c>
      <c r="D214" s="2" t="s">
        <v>47</v>
      </c>
      <c r="E214" s="2" t="s">
        <v>510</v>
      </c>
      <c r="F214" s="2">
        <v>5.0</v>
      </c>
      <c r="G214" s="2">
        <v>1.0</v>
      </c>
      <c r="H214" s="2">
        <v>1.0</v>
      </c>
      <c r="I214" s="5" t="s">
        <v>1113</v>
      </c>
      <c r="J214" s="5" t="str">
        <f>IFERROR(__xludf.DUMMYFUNCTION("""COMPUTED_VALUE"""),"https://drive.google.com/thumbnail?id=1CS5SodgEgBT4gA--pklqKdbVEQ2_YJLi&amp;sz=s1000")</f>
        <v>https://drive.google.com/thumbnail?id=1CS5SodgEgBT4gA--pklqKdbVEQ2_YJLi&amp;sz=s1000</v>
      </c>
      <c r="K214" s="6" t="s">
        <v>1114</v>
      </c>
      <c r="L214" s="6"/>
      <c r="M214" s="2" t="s">
        <v>143</v>
      </c>
      <c r="O214" s="7" t="s">
        <v>1115</v>
      </c>
    </row>
    <row r="215">
      <c r="A215" s="2">
        <v>214.0</v>
      </c>
      <c r="B215" s="2" t="s">
        <v>1116</v>
      </c>
      <c r="C215" s="2" t="s">
        <v>19</v>
      </c>
      <c r="D215" s="2" t="s">
        <v>47</v>
      </c>
      <c r="E215" s="2" t="s">
        <v>510</v>
      </c>
      <c r="F215" s="2">
        <v>6.0</v>
      </c>
      <c r="G215" s="2">
        <v>1.0</v>
      </c>
      <c r="H215" s="2">
        <v>1.0</v>
      </c>
      <c r="I215" s="5" t="s">
        <v>1117</v>
      </c>
      <c r="J215" s="5" t="str">
        <f>IFERROR(__xludf.DUMMYFUNCTION("""COMPUTED_VALUE"""),"https://drive.google.com/thumbnail?id=1CN2RXhKsceO-FAATk3CDDv4SRGZI5OUV&amp;sz=s1000")</f>
        <v>https://drive.google.com/thumbnail?id=1CN2RXhKsceO-FAATk3CDDv4SRGZI5OUV&amp;sz=s1000</v>
      </c>
      <c r="K215" s="6" t="s">
        <v>1118</v>
      </c>
      <c r="L215" s="6"/>
      <c r="M215" s="2" t="s">
        <v>143</v>
      </c>
      <c r="O215" s="7" t="s">
        <v>1119</v>
      </c>
    </row>
    <row r="216">
      <c r="A216" s="2">
        <v>215.0</v>
      </c>
      <c r="B216" s="2" t="s">
        <v>1120</v>
      </c>
      <c r="C216" s="2" t="s">
        <v>19</v>
      </c>
      <c r="D216" s="2" t="s">
        <v>47</v>
      </c>
      <c r="E216" s="2" t="s">
        <v>510</v>
      </c>
      <c r="F216" s="2">
        <v>6.0</v>
      </c>
      <c r="G216" s="2">
        <v>1.0</v>
      </c>
      <c r="H216" s="2">
        <v>1.0</v>
      </c>
      <c r="I216" s="5" t="s">
        <v>1121</v>
      </c>
      <c r="J216" s="5" t="str">
        <f>IFERROR(__xludf.DUMMYFUNCTION("""COMPUTED_VALUE"""),"https://drive.google.com/thumbnail?id=1CK1QxR00pwgJFD2irUz-ASxk-I2qbbJm&amp;sz=s1000")</f>
        <v>https://drive.google.com/thumbnail?id=1CK1QxR00pwgJFD2irUz-ASxk-I2qbbJm&amp;sz=s1000</v>
      </c>
      <c r="K216" s="6" t="s">
        <v>1122</v>
      </c>
      <c r="L216" s="6"/>
      <c r="M216" s="2" t="s">
        <v>143</v>
      </c>
      <c r="O216" s="7" t="s">
        <v>1123</v>
      </c>
    </row>
    <row r="217">
      <c r="A217" s="2">
        <v>216.0</v>
      </c>
      <c r="B217" s="2" t="s">
        <v>1124</v>
      </c>
      <c r="C217" s="2" t="s">
        <v>19</v>
      </c>
      <c r="D217" s="2" t="s">
        <v>47</v>
      </c>
      <c r="E217" s="2" t="s">
        <v>510</v>
      </c>
      <c r="F217" s="2">
        <v>3.0</v>
      </c>
      <c r="G217" s="2">
        <v>1.0</v>
      </c>
      <c r="H217" s="2">
        <v>1.0</v>
      </c>
      <c r="I217" s="5" t="s">
        <v>1125</v>
      </c>
      <c r="J217" s="5" t="str">
        <f>IFERROR(__xludf.DUMMYFUNCTION("""COMPUTED_VALUE"""),"https://drive.google.com/thumbnail?id=1CHku3l1hrmrLoGjFUIs6dz-pAmHRqizN&amp;sz=s1000")</f>
        <v>https://drive.google.com/thumbnail?id=1CHku3l1hrmrLoGjFUIs6dz-pAmHRqizN&amp;sz=s1000</v>
      </c>
      <c r="K217" s="6" t="s">
        <v>1126</v>
      </c>
      <c r="L217" s="6"/>
      <c r="M217" s="2" t="s">
        <v>143</v>
      </c>
      <c r="O217" s="7" t="s">
        <v>1127</v>
      </c>
    </row>
    <row r="218">
      <c r="A218" s="2">
        <v>217.0</v>
      </c>
      <c r="B218" s="2" t="s">
        <v>1128</v>
      </c>
      <c r="C218" s="2" t="s">
        <v>19</v>
      </c>
      <c r="D218" s="2" t="s">
        <v>47</v>
      </c>
      <c r="E218" s="2" t="s">
        <v>68</v>
      </c>
      <c r="F218" s="2">
        <v>3.0</v>
      </c>
      <c r="G218" s="2">
        <v>1.0</v>
      </c>
      <c r="H218" s="2">
        <v>1.0</v>
      </c>
      <c r="I218" s="5" t="s">
        <v>1129</v>
      </c>
      <c r="J218" s="5" t="str">
        <f>IFERROR(__xludf.DUMMYFUNCTION("""COMPUTED_VALUE"""),"https://drive.google.com/thumbnail?id=1CFjl9Whsfuv477SCaHS-HN_J8SqjFArR&amp;sz=s1000")</f>
        <v>https://drive.google.com/thumbnail?id=1CFjl9Whsfuv477SCaHS-HN_J8SqjFArR&amp;sz=s1000</v>
      </c>
      <c r="K218" s="6" t="s">
        <v>1130</v>
      </c>
      <c r="L218" s="6"/>
      <c r="M218" s="2" t="s">
        <v>143</v>
      </c>
      <c r="O218" s="7" t="s">
        <v>1131</v>
      </c>
    </row>
    <row r="219">
      <c r="A219" s="2">
        <v>218.0</v>
      </c>
      <c r="B219" s="2" t="s">
        <v>1132</v>
      </c>
      <c r="C219" s="2" t="s">
        <v>19</v>
      </c>
      <c r="D219" s="2" t="s">
        <v>47</v>
      </c>
      <c r="E219" s="2" t="s">
        <v>79</v>
      </c>
      <c r="F219" s="2">
        <v>7.0</v>
      </c>
      <c r="G219" s="2">
        <v>1.0</v>
      </c>
      <c r="H219" s="2">
        <v>1.0</v>
      </c>
      <c r="I219" s="5" t="s">
        <v>1133</v>
      </c>
      <c r="J219" s="5" t="str">
        <f>IFERROR(__xludf.DUMMYFUNCTION("""COMPUTED_VALUE"""),"https://drive.google.com/thumbnail?id=1CCw_U880bqoGg2xhdTqftKoMlYnqgckl&amp;sz=s1000")</f>
        <v>https://drive.google.com/thumbnail?id=1CCw_U880bqoGg2xhdTqftKoMlYnqgckl&amp;sz=s1000</v>
      </c>
      <c r="K219" s="6" t="s">
        <v>1134</v>
      </c>
      <c r="L219" s="6"/>
      <c r="M219" s="2" t="s">
        <v>143</v>
      </c>
      <c r="O219" s="7" t="s">
        <v>1135</v>
      </c>
    </row>
    <row r="220">
      <c r="A220" s="2">
        <v>219.0</v>
      </c>
      <c r="B220" s="2" t="s">
        <v>1136</v>
      </c>
      <c r="C220" s="2" t="s">
        <v>19</v>
      </c>
      <c r="D220" s="2" t="s">
        <v>47</v>
      </c>
      <c r="E220" s="2" t="s">
        <v>126</v>
      </c>
      <c r="F220" s="2">
        <v>3.0</v>
      </c>
      <c r="G220" s="2">
        <v>1.0</v>
      </c>
      <c r="H220" s="2">
        <v>1.0</v>
      </c>
      <c r="I220" s="5" t="s">
        <v>1137</v>
      </c>
      <c r="J220" s="5" t="str">
        <f>IFERROR(__xludf.DUMMYFUNCTION("""COMPUTED_VALUE"""),"https://drive.google.com/thumbnail?id=1CUBZKq_g25wbm9zG7-clI61nAYljd7nV&amp;sz=s1000")</f>
        <v>https://drive.google.com/thumbnail?id=1CUBZKq_g25wbm9zG7-clI61nAYljd7nV&amp;sz=s1000</v>
      </c>
      <c r="K220" s="6" t="s">
        <v>1138</v>
      </c>
      <c r="L220" s="6"/>
      <c r="M220" s="2" t="s">
        <v>143</v>
      </c>
      <c r="N220" s="2" t="s">
        <v>1139</v>
      </c>
      <c r="O220" s="7" t="s">
        <v>1140</v>
      </c>
    </row>
    <row r="221">
      <c r="A221" s="2">
        <v>220.0</v>
      </c>
      <c r="B221" s="2" t="s">
        <v>1141</v>
      </c>
      <c r="C221" s="2" t="s">
        <v>36</v>
      </c>
      <c r="D221" s="2" t="s">
        <v>47</v>
      </c>
      <c r="E221" s="2" t="s">
        <v>36</v>
      </c>
      <c r="F221" s="2">
        <v>6.0</v>
      </c>
      <c r="G221" s="2">
        <v>1.0</v>
      </c>
      <c r="H221" s="2">
        <v>3.0</v>
      </c>
      <c r="I221" s="5" t="s">
        <v>1142</v>
      </c>
      <c r="J221" s="5" t="str">
        <f>IFERROR(__xludf.DUMMYFUNCTION("""COMPUTED_VALUE"""),"https://drive.google.com/thumbnail?id=1CgfeiMm5AbCu2WhMk4xCi8OHpJNHG10d&amp;sz=s1000")</f>
        <v>https://drive.google.com/thumbnail?id=1CgfeiMm5AbCu2WhMk4xCi8OHpJNHG10d&amp;sz=s1000</v>
      </c>
      <c r="K221" s="6" t="s">
        <v>1143</v>
      </c>
      <c r="L221" s="6"/>
      <c r="M221" s="2" t="s">
        <v>143</v>
      </c>
      <c r="O221" s="7" t="s">
        <v>1144</v>
      </c>
    </row>
    <row r="222">
      <c r="A222" s="2">
        <v>221.0</v>
      </c>
      <c r="B222" s="2" t="s">
        <v>1145</v>
      </c>
      <c r="C222" s="2" t="s">
        <v>19</v>
      </c>
      <c r="D222" s="2" t="s">
        <v>47</v>
      </c>
      <c r="E222" s="2" t="s">
        <v>36</v>
      </c>
      <c r="F222" s="2">
        <v>4.0</v>
      </c>
      <c r="G222" s="2">
        <v>1.0</v>
      </c>
      <c r="H222" s="2">
        <v>1.0</v>
      </c>
      <c r="I222" s="5" t="s">
        <v>1146</v>
      </c>
      <c r="J222" s="5" t="str">
        <f>IFERROR(__xludf.DUMMYFUNCTION("""COMPUTED_VALUE"""),"https://drive.google.com/thumbnail?id=1CdaOGp550_mb_M3ED0_m5RNljdrqB52b&amp;sz=s1000")</f>
        <v>https://drive.google.com/thumbnail?id=1CdaOGp550_mb_M3ED0_m5RNljdrqB52b&amp;sz=s1000</v>
      </c>
      <c r="K222" s="6" t="s">
        <v>1147</v>
      </c>
      <c r="L222" s="6"/>
      <c r="M222" s="2" t="s">
        <v>143</v>
      </c>
      <c r="N222" s="2" t="s">
        <v>1148</v>
      </c>
      <c r="O222" s="7" t="s">
        <v>1149</v>
      </c>
    </row>
    <row r="223">
      <c r="A223" s="2">
        <v>222.0</v>
      </c>
      <c r="B223" s="2" t="s">
        <v>1150</v>
      </c>
      <c r="C223" s="2" t="s">
        <v>34</v>
      </c>
      <c r="D223" s="2" t="s">
        <v>47</v>
      </c>
      <c r="E223" s="2" t="s">
        <v>34</v>
      </c>
      <c r="F223" s="2">
        <v>5.0</v>
      </c>
      <c r="G223" s="2">
        <v>1.0</v>
      </c>
      <c r="H223" s="2">
        <v>4.0</v>
      </c>
      <c r="I223" s="5" t="s">
        <v>1151</v>
      </c>
      <c r="J223" s="5" t="str">
        <f>IFERROR(__xludf.DUMMYFUNCTION("""COMPUTED_VALUE"""),"https://drive.google.com/thumbnail?id=1Cay_7IAW3QWTWbb5si8vphoZ0YJYRHUS&amp;sz=s1000")</f>
        <v>https://drive.google.com/thumbnail?id=1Cay_7IAW3QWTWbb5si8vphoZ0YJYRHUS&amp;sz=s1000</v>
      </c>
      <c r="K223" s="6" t="s">
        <v>1152</v>
      </c>
      <c r="L223" s="6"/>
      <c r="M223" s="2" t="s">
        <v>143</v>
      </c>
      <c r="O223" s="7" t="s">
        <v>1153</v>
      </c>
    </row>
    <row r="224">
      <c r="A224" s="2">
        <v>223.0</v>
      </c>
      <c r="B224" s="2" t="s">
        <v>1154</v>
      </c>
      <c r="C224" s="2" t="s">
        <v>28</v>
      </c>
      <c r="D224" s="2" t="s">
        <v>47</v>
      </c>
      <c r="E224" s="2" t="s">
        <v>34</v>
      </c>
      <c r="F224" s="2">
        <v>6.0</v>
      </c>
      <c r="G224" s="2">
        <v>1.0</v>
      </c>
      <c r="H224" s="2">
        <v>6.0</v>
      </c>
      <c r="I224" s="5" t="s">
        <v>1155</v>
      </c>
      <c r="J224" s="5" t="str">
        <f>IFERROR(__xludf.DUMMYFUNCTION("""COMPUTED_VALUE"""),"https://drive.google.com/thumbnail?id=1C_cRqY04D9A3jPt_Hazxs0qASR3HemUm&amp;sz=s1000")</f>
        <v>https://drive.google.com/thumbnail?id=1C_cRqY04D9A3jPt_Hazxs0qASR3HemUm&amp;sz=s1000</v>
      </c>
      <c r="K224" s="6" t="s">
        <v>1156</v>
      </c>
      <c r="L224" s="6"/>
      <c r="M224" s="2" t="s">
        <v>143</v>
      </c>
      <c r="N224" s="2" t="s">
        <v>1157</v>
      </c>
      <c r="O224" s="7" t="s">
        <v>1158</v>
      </c>
    </row>
    <row r="225">
      <c r="A225" s="2">
        <v>224.0</v>
      </c>
      <c r="B225" s="2" t="s">
        <v>1159</v>
      </c>
      <c r="C225" s="2" t="s">
        <v>28</v>
      </c>
      <c r="D225" s="2" t="s">
        <v>47</v>
      </c>
      <c r="E225" s="2" t="s">
        <v>58</v>
      </c>
      <c r="F225" s="2">
        <v>5.0</v>
      </c>
      <c r="G225" s="2">
        <v>1.0</v>
      </c>
      <c r="H225" s="2">
        <v>4.0</v>
      </c>
      <c r="I225" s="5" t="s">
        <v>1160</v>
      </c>
      <c r="J225" s="5" t="str">
        <f>IFERROR(__xludf.DUMMYFUNCTION("""COMPUTED_VALUE"""),"https://drive.google.com/thumbnail?id=1CXvSFp6oYJ-k_V0QCjkU__5-_orNNOkC&amp;sz=s1000")</f>
        <v>https://drive.google.com/thumbnail?id=1CXvSFp6oYJ-k_V0QCjkU__5-_orNNOkC&amp;sz=s1000</v>
      </c>
      <c r="K225" s="6" t="s">
        <v>1161</v>
      </c>
      <c r="L225" s="6"/>
      <c r="M225" s="2" t="s">
        <v>143</v>
      </c>
      <c r="N225" s="2" t="s">
        <v>1162</v>
      </c>
      <c r="O225" s="7" t="s">
        <v>1163</v>
      </c>
    </row>
    <row r="226">
      <c r="A226" s="2">
        <v>225.0</v>
      </c>
      <c r="B226" s="2" t="s">
        <v>1164</v>
      </c>
      <c r="C226" s="2" t="s">
        <v>28</v>
      </c>
      <c r="D226" s="2" t="s">
        <v>47</v>
      </c>
      <c r="E226" s="2" t="s">
        <v>64</v>
      </c>
      <c r="F226" s="2">
        <v>6.0</v>
      </c>
      <c r="G226" s="2">
        <v>1.0</v>
      </c>
      <c r="H226" s="2">
        <v>4.0</v>
      </c>
      <c r="I226" s="5" t="s">
        <v>1165</v>
      </c>
      <c r="J226" s="5" t="str">
        <f>IFERROR(__xludf.DUMMYFUNCTION("""COMPUTED_VALUE"""),"https://drive.google.com/thumbnail?id=1Cu_SnS9HhGJaZXm5cJchN4JyksQvJLEK&amp;sz=s1000")</f>
        <v>https://drive.google.com/thumbnail?id=1Cu_SnS9HhGJaZXm5cJchN4JyksQvJLEK&amp;sz=s1000</v>
      </c>
      <c r="K226" s="6" t="s">
        <v>1166</v>
      </c>
      <c r="L226" s="6"/>
      <c r="M226" s="2" t="s">
        <v>143</v>
      </c>
      <c r="O226" s="7" t="s">
        <v>1167</v>
      </c>
    </row>
    <row r="227">
      <c r="A227" s="2">
        <v>226.0</v>
      </c>
      <c r="B227" s="2" t="s">
        <v>1168</v>
      </c>
      <c r="C227" s="2" t="s">
        <v>36</v>
      </c>
      <c r="D227" s="3"/>
      <c r="E227" s="3"/>
      <c r="F227" s="2">
        <v>6.0</v>
      </c>
      <c r="G227" s="2">
        <v>1.0</v>
      </c>
      <c r="H227" s="2">
        <v>1.0</v>
      </c>
      <c r="I227" s="5" t="s">
        <v>1169</v>
      </c>
      <c r="J227" s="5" t="str">
        <f>IFERROR(__xludf.DUMMYFUNCTION("""COMPUTED_VALUE"""),"https://drive.google.com/thumbnail?id=1CsLDRlC5FBXQKfD7t2yD8I9sqJw9FJrZ&amp;sz=s1000")</f>
        <v>https://drive.google.com/thumbnail?id=1CsLDRlC5FBXQKfD7t2yD8I9sqJw9FJrZ&amp;sz=s1000</v>
      </c>
      <c r="K227" s="6" t="s">
        <v>1170</v>
      </c>
      <c r="L227" s="6"/>
      <c r="M227" s="2" t="s">
        <v>143</v>
      </c>
      <c r="N227" s="2" t="s">
        <v>1171</v>
      </c>
      <c r="O227" s="7" t="s">
        <v>1172</v>
      </c>
    </row>
    <row r="228">
      <c r="A228" s="2">
        <v>227.0</v>
      </c>
      <c r="B228" s="2" t="s">
        <v>1173</v>
      </c>
      <c r="C228" s="2" t="s">
        <v>21</v>
      </c>
      <c r="D228" s="3"/>
      <c r="E228" s="2" t="s">
        <v>73</v>
      </c>
      <c r="F228" s="2">
        <v>3.0</v>
      </c>
      <c r="G228" s="2">
        <v>1.0</v>
      </c>
      <c r="H228" s="2">
        <v>1.0</v>
      </c>
      <c r="I228" s="5" t="s">
        <v>1174</v>
      </c>
      <c r="J228" s="5" t="str">
        <f>IFERROR(__xludf.DUMMYFUNCTION("""COMPUTED_VALUE"""),"https://drive.google.com/thumbnail?id=1ClZ2wScH7lizEh4WUyb0mhsLBntC6F0w&amp;sz=s1000")</f>
        <v>https://drive.google.com/thumbnail?id=1ClZ2wScH7lizEh4WUyb0mhsLBntC6F0w&amp;sz=s1000</v>
      </c>
      <c r="K228" s="6" t="s">
        <v>1175</v>
      </c>
      <c r="L228" s="6"/>
      <c r="M228" s="2" t="s">
        <v>143</v>
      </c>
      <c r="N228" s="2" t="s">
        <v>1176</v>
      </c>
      <c r="O228" s="7" t="s">
        <v>1177</v>
      </c>
    </row>
    <row r="229">
      <c r="A229" s="2">
        <v>228.0</v>
      </c>
      <c r="B229" s="2" t="s">
        <v>1178</v>
      </c>
      <c r="C229" s="2" t="s">
        <v>36</v>
      </c>
      <c r="D229" s="2" t="s">
        <v>47</v>
      </c>
      <c r="E229" s="2" t="s">
        <v>64</v>
      </c>
      <c r="F229" s="2">
        <v>3.0</v>
      </c>
      <c r="G229" s="2">
        <v>1.0</v>
      </c>
      <c r="H229" s="2">
        <v>2.0</v>
      </c>
      <c r="I229" s="5" t="s">
        <v>1179</v>
      </c>
      <c r="J229" s="5" t="str">
        <f>IFERROR(__xludf.DUMMYFUNCTION("""COMPUTED_VALUE"""),"https://drive.google.com/thumbnail?id=1CwBF4ZYD8OuewxDaQqDYcwvXpzm8LvGb&amp;sz=s1000")</f>
        <v>https://drive.google.com/thumbnail?id=1CwBF4ZYD8OuewxDaQqDYcwvXpzm8LvGb&amp;sz=s1000</v>
      </c>
      <c r="K229" s="6" t="s">
        <v>1180</v>
      </c>
      <c r="L229" s="6"/>
      <c r="M229" s="2" t="s">
        <v>143</v>
      </c>
      <c r="O229" s="7" t="s">
        <v>1181</v>
      </c>
    </row>
    <row r="230">
      <c r="A230" s="2">
        <v>229.0</v>
      </c>
      <c r="B230" s="2" t="s">
        <v>1182</v>
      </c>
      <c r="C230" s="2" t="s">
        <v>32</v>
      </c>
      <c r="D230" s="2" t="s">
        <v>47</v>
      </c>
      <c r="E230" s="2" t="s">
        <v>54</v>
      </c>
      <c r="F230" s="2">
        <v>5.0</v>
      </c>
      <c r="G230" s="2">
        <v>1.0</v>
      </c>
      <c r="H230" s="2">
        <v>2.0</v>
      </c>
      <c r="I230" s="5" t="s">
        <v>1183</v>
      </c>
      <c r="J230" s="5" t="str">
        <f>IFERROR(__xludf.DUMMYFUNCTION("""COMPUTED_VALUE"""),"https://drive.google.com/thumbnail?id=1D-uhXxA1Z_bZUNgEgCwAo7sCb0FFLLbZ&amp;sz=s1000")</f>
        <v>https://drive.google.com/thumbnail?id=1D-uhXxA1Z_bZUNgEgCwAo7sCb0FFLLbZ&amp;sz=s1000</v>
      </c>
      <c r="K230" s="6" t="s">
        <v>1184</v>
      </c>
      <c r="L230" s="6"/>
      <c r="M230" s="2" t="s">
        <v>139</v>
      </c>
      <c r="N230" s="2" t="s">
        <v>1185</v>
      </c>
      <c r="O230" s="7" t="s">
        <v>1186</v>
      </c>
    </row>
    <row r="231">
      <c r="A231" s="2">
        <v>230.0</v>
      </c>
      <c r="B231" s="2" t="s">
        <v>1187</v>
      </c>
      <c r="C231" s="2" t="s">
        <v>12</v>
      </c>
      <c r="D231" s="2" t="s">
        <v>47</v>
      </c>
      <c r="E231" s="2" t="s">
        <v>88</v>
      </c>
      <c r="F231" s="2">
        <v>3.0</v>
      </c>
      <c r="G231" s="2">
        <v>1.0</v>
      </c>
      <c r="H231" s="2">
        <v>7.0</v>
      </c>
      <c r="I231" s="5" t="s">
        <v>1188</v>
      </c>
      <c r="J231" s="5" t="str">
        <f>IFERROR(__xludf.DUMMYFUNCTION("""COMPUTED_VALUE"""),"https://drive.google.com/thumbnail?id=1DI05hIvsNesTZINGirZz9UTI_5aJQ_Tj&amp;sz=s1000")</f>
        <v>https://drive.google.com/thumbnail?id=1DI05hIvsNesTZINGirZz9UTI_5aJQ_Tj&amp;sz=s1000</v>
      </c>
      <c r="K231" s="6" t="s">
        <v>1189</v>
      </c>
      <c r="L231" s="6"/>
      <c r="M231" s="2" t="s">
        <v>139</v>
      </c>
      <c r="N231" s="2" t="s">
        <v>1190</v>
      </c>
      <c r="O231" s="7" t="s">
        <v>1191</v>
      </c>
    </row>
    <row r="232">
      <c r="A232" s="2">
        <v>231.0</v>
      </c>
      <c r="B232" s="2" t="s">
        <v>1192</v>
      </c>
      <c r="C232" s="2" t="s">
        <v>36</v>
      </c>
      <c r="D232" s="2" t="s">
        <v>47</v>
      </c>
      <c r="E232" s="2" t="s">
        <v>73</v>
      </c>
      <c r="F232" s="2">
        <v>3.0</v>
      </c>
      <c r="G232" s="2">
        <v>1.0</v>
      </c>
      <c r="H232" s="2">
        <v>1.0</v>
      </c>
      <c r="I232" s="5" t="s">
        <v>1193</v>
      </c>
      <c r="J232" s="5" t="str">
        <f>IFERROR(__xludf.DUMMYFUNCTION("""COMPUTED_VALUE"""),"https://drive.google.com/thumbnail?id=1D5IwfiOD85b7IQK-hhs3QPloFjqf_Zn0&amp;sz=s1000")</f>
        <v>https://drive.google.com/thumbnail?id=1D5IwfiOD85b7IQK-hhs3QPloFjqf_Zn0&amp;sz=s1000</v>
      </c>
      <c r="K232" s="6" t="s">
        <v>1194</v>
      </c>
      <c r="L232" s="6"/>
      <c r="M232" s="2" t="s">
        <v>143</v>
      </c>
      <c r="O232" s="7" t="s">
        <v>1195</v>
      </c>
    </row>
    <row r="233">
      <c r="A233" s="2">
        <v>232.0</v>
      </c>
      <c r="B233" s="2" t="s">
        <v>1196</v>
      </c>
      <c r="C233" s="2" t="s">
        <v>19</v>
      </c>
      <c r="D233" s="2" t="s">
        <v>47</v>
      </c>
      <c r="E233" s="2" t="s">
        <v>88</v>
      </c>
      <c r="F233" s="2">
        <v>3.0</v>
      </c>
      <c r="G233" s="2">
        <v>1.0</v>
      </c>
      <c r="H233" s="2">
        <v>8.0</v>
      </c>
      <c r="I233" s="5" t="s">
        <v>1197</v>
      </c>
      <c r="J233" s="5" t="str">
        <f>IFERROR(__xludf.DUMMYFUNCTION("""COMPUTED_VALUE"""),"https://drive.google.com/thumbnail?id=1D4zU7J5TgDVpkEoXrAy_OaBYLzJ7M71K&amp;sz=s1000")</f>
        <v>https://drive.google.com/thumbnail?id=1D4zU7J5TgDVpkEoXrAy_OaBYLzJ7M71K&amp;sz=s1000</v>
      </c>
      <c r="K233" s="6" t="s">
        <v>1198</v>
      </c>
      <c r="L233" s="6"/>
      <c r="M233" s="2" t="s">
        <v>143</v>
      </c>
      <c r="N233" s="2" t="s">
        <v>1199</v>
      </c>
      <c r="O233" s="7" t="s">
        <v>1200</v>
      </c>
    </row>
    <row r="234">
      <c r="A234" s="2">
        <v>233.0</v>
      </c>
      <c r="B234" s="2" t="s">
        <v>1201</v>
      </c>
      <c r="C234" s="2" t="s">
        <v>36</v>
      </c>
      <c r="D234" s="2" t="s">
        <v>47</v>
      </c>
      <c r="E234" s="2" t="s">
        <v>92</v>
      </c>
      <c r="F234" s="2">
        <v>8.0</v>
      </c>
      <c r="G234" s="2">
        <v>1.0</v>
      </c>
      <c r="H234" s="2">
        <v>1.0</v>
      </c>
      <c r="I234" s="5" t="s">
        <v>1202</v>
      </c>
      <c r="J234" s="5" t="str">
        <f>IFERROR(__xludf.DUMMYFUNCTION("""COMPUTED_VALUE"""),"https://drive.google.com/thumbnail?id=1DRuM7KsbKR7kFCE9W44RlFZe3H_JCeXK&amp;sz=s1000")</f>
        <v>https://drive.google.com/thumbnail?id=1DRuM7KsbKR7kFCE9W44RlFZe3H_JCeXK&amp;sz=s1000</v>
      </c>
      <c r="K234" s="6" t="s">
        <v>1203</v>
      </c>
      <c r="L234" s="6"/>
      <c r="M234" s="2" t="s">
        <v>143</v>
      </c>
      <c r="O234" s="7" t="s">
        <v>1204</v>
      </c>
    </row>
    <row r="235">
      <c r="A235" s="2">
        <v>234.0</v>
      </c>
      <c r="B235" s="2" t="s">
        <v>1205</v>
      </c>
      <c r="C235" s="2" t="s">
        <v>32</v>
      </c>
      <c r="D235" s="2" t="s">
        <v>50</v>
      </c>
      <c r="E235" s="2" t="s">
        <v>68</v>
      </c>
      <c r="F235" s="2">
        <v>3.0</v>
      </c>
      <c r="G235" s="2">
        <v>1.0</v>
      </c>
      <c r="H235" s="2">
        <v>1.0</v>
      </c>
      <c r="I235" s="5" t="s">
        <v>1206</v>
      </c>
      <c r="J235" s="5" t="str">
        <f>IFERROR(__xludf.DUMMYFUNCTION("""COMPUTED_VALUE"""),"https://drive.google.com/thumbnail?id=1DPBbXYPhqQGaGT8eEoYZvoCeBjzrw6V7&amp;sz=s1000")</f>
        <v>https://drive.google.com/thumbnail?id=1DPBbXYPhqQGaGT8eEoYZvoCeBjzrw6V7&amp;sz=s1000</v>
      </c>
      <c r="K235" s="6" t="s">
        <v>1207</v>
      </c>
      <c r="L235" s="6"/>
      <c r="M235" s="2" t="s">
        <v>143</v>
      </c>
      <c r="N235" s="2" t="s">
        <v>1208</v>
      </c>
      <c r="O235" s="7" t="s">
        <v>1209</v>
      </c>
    </row>
    <row r="236">
      <c r="A236" s="2">
        <v>235.0</v>
      </c>
      <c r="B236" s="2" t="s">
        <v>1210</v>
      </c>
      <c r="C236" s="2" t="s">
        <v>19</v>
      </c>
      <c r="D236" s="2" t="s">
        <v>47</v>
      </c>
      <c r="E236" s="2" t="s">
        <v>82</v>
      </c>
      <c r="F236" s="2">
        <v>5.0</v>
      </c>
      <c r="G236" s="2">
        <v>2.0</v>
      </c>
      <c r="H236" s="2">
        <v>2.0</v>
      </c>
      <c r="I236" s="5" t="s">
        <v>1211</v>
      </c>
      <c r="J236" s="5" t="str">
        <f>IFERROR(__xludf.DUMMYFUNCTION("""COMPUTED_VALUE"""),"https://drive.google.com/thumbnail?id=17tI5yyfm3bEBeZrS65J7vog4uvTijNgK&amp;sz=s1000")</f>
        <v>https://drive.google.com/thumbnail?id=17tI5yyfm3bEBeZrS65J7vog4uvTijNgK&amp;sz=s1000</v>
      </c>
      <c r="K236" s="6" t="s">
        <v>1212</v>
      </c>
      <c r="L236" s="6"/>
      <c r="M236" s="2" t="s">
        <v>143</v>
      </c>
      <c r="O236" s="7" t="s">
        <v>1213</v>
      </c>
    </row>
    <row r="237">
      <c r="A237" s="2">
        <v>236.0</v>
      </c>
      <c r="B237" s="2" t="s">
        <v>1214</v>
      </c>
      <c r="C237" s="2" t="s">
        <v>36</v>
      </c>
      <c r="D237" s="2" t="s">
        <v>39</v>
      </c>
      <c r="E237" s="2" t="s">
        <v>115</v>
      </c>
      <c r="F237" s="2">
        <v>4.0</v>
      </c>
      <c r="G237" s="2">
        <v>2.0</v>
      </c>
      <c r="H237" s="2">
        <v>4.0</v>
      </c>
      <c r="I237" s="5" t="s">
        <v>1215</v>
      </c>
      <c r="J237" s="5" t="str">
        <f>IFERROR(__xludf.DUMMYFUNCTION("""COMPUTED_VALUE"""),"https://drive.google.com/thumbnail?id=17pdRikYlpy2MULgq5hz0z1jZie6OC4dq&amp;sz=s1000")</f>
        <v>https://drive.google.com/thumbnail?id=17pdRikYlpy2MULgq5hz0z1jZie6OC4dq&amp;sz=s1000</v>
      </c>
      <c r="K237" s="6" t="s">
        <v>1216</v>
      </c>
      <c r="L237" s="6"/>
      <c r="M237" s="2" t="s">
        <v>139</v>
      </c>
      <c r="N237" s="2" t="s">
        <v>1217</v>
      </c>
      <c r="O237" s="7" t="s">
        <v>1218</v>
      </c>
    </row>
    <row r="238">
      <c r="A238" s="2">
        <v>237.0</v>
      </c>
      <c r="B238" s="2" t="s">
        <v>1219</v>
      </c>
      <c r="C238" s="2" t="s">
        <v>30</v>
      </c>
      <c r="D238" s="2" t="s">
        <v>39</v>
      </c>
      <c r="E238" s="2" t="s">
        <v>79</v>
      </c>
      <c r="F238" s="2">
        <v>3.0</v>
      </c>
      <c r="G238" s="2">
        <v>1.0</v>
      </c>
      <c r="H238" s="2">
        <v>1.0</v>
      </c>
      <c r="I238" s="5" t="s">
        <v>1220</v>
      </c>
      <c r="J238" s="5" t="str">
        <f>IFERROR(__xludf.DUMMYFUNCTION("""COMPUTED_VALUE"""),"https://drive.google.com/thumbnail?id=186lj9r-L_byv4nDgO1_EICSNDzQ_4yC3&amp;sz=s1000")</f>
        <v>https://drive.google.com/thumbnail?id=186lj9r-L_byv4nDgO1_EICSNDzQ_4yC3&amp;sz=s1000</v>
      </c>
      <c r="K238" s="6" t="s">
        <v>1221</v>
      </c>
      <c r="L238" s="6"/>
      <c r="M238" s="2" t="s">
        <v>139</v>
      </c>
      <c r="N238" s="2" t="s">
        <v>1222</v>
      </c>
      <c r="O238" s="7" t="s">
        <v>1223</v>
      </c>
    </row>
    <row r="239">
      <c r="A239" s="2">
        <v>238.0</v>
      </c>
      <c r="B239" s="2" t="s">
        <v>1224</v>
      </c>
      <c r="C239" s="2" t="s">
        <v>32</v>
      </c>
      <c r="D239" s="2" t="s">
        <v>47</v>
      </c>
      <c r="E239" s="2" t="s">
        <v>73</v>
      </c>
      <c r="F239" s="2">
        <v>3.0</v>
      </c>
      <c r="G239" s="2">
        <v>1.0</v>
      </c>
      <c r="H239" s="2">
        <v>1.0</v>
      </c>
      <c r="I239" s="5" t="s">
        <v>1225</v>
      </c>
      <c r="J239" s="5" t="str">
        <f>IFERROR(__xludf.DUMMYFUNCTION("""COMPUTED_VALUE"""),"https://drive.google.com/thumbnail?id=17zNRK_lAij2qxM26QbeqVqHPxRgMvR1J&amp;sz=s1000")</f>
        <v>https://drive.google.com/thumbnail?id=17zNRK_lAij2qxM26QbeqVqHPxRgMvR1J&amp;sz=s1000</v>
      </c>
      <c r="K239" s="6" t="s">
        <v>1226</v>
      </c>
      <c r="L239" s="6"/>
      <c r="M239" s="3"/>
      <c r="O239" s="7" t="s">
        <v>1227</v>
      </c>
    </row>
    <row r="240">
      <c r="A240" s="2">
        <v>239.0</v>
      </c>
      <c r="B240" s="2" t="s">
        <v>1228</v>
      </c>
      <c r="C240" s="2" t="s">
        <v>36</v>
      </c>
      <c r="D240" s="3"/>
      <c r="E240" s="3"/>
      <c r="F240" s="2">
        <v>3.0</v>
      </c>
      <c r="G240" s="2">
        <v>1.0</v>
      </c>
      <c r="H240" s="2">
        <v>1.0</v>
      </c>
      <c r="I240" s="5" t="s">
        <v>1229</v>
      </c>
      <c r="J240" s="5" t="str">
        <f>IFERROR(__xludf.DUMMYFUNCTION("""COMPUTED_VALUE"""),"https://drive.google.com/thumbnail?id=18FyaeSB2TnRloRmkSZ06hArCxdEpY3Qj&amp;sz=s1000")</f>
        <v>https://drive.google.com/thumbnail?id=18FyaeSB2TnRloRmkSZ06hArCxdEpY3Qj&amp;sz=s1000</v>
      </c>
      <c r="K240" s="6" t="s">
        <v>1230</v>
      </c>
      <c r="L240" s="6"/>
      <c r="M240" s="3"/>
      <c r="O240" s="7" t="s">
        <v>1231</v>
      </c>
    </row>
    <row r="241">
      <c r="A241" s="2">
        <v>240.0</v>
      </c>
      <c r="B241" s="2" t="s">
        <v>1232</v>
      </c>
      <c r="C241" s="2" t="s">
        <v>36</v>
      </c>
      <c r="D241" s="2" t="s">
        <v>47</v>
      </c>
      <c r="E241" s="2" t="s">
        <v>126</v>
      </c>
      <c r="F241" s="2">
        <v>3.0</v>
      </c>
      <c r="G241" s="2">
        <v>1.0</v>
      </c>
      <c r="H241" s="2">
        <v>1.0</v>
      </c>
      <c r="I241" s="5" t="s">
        <v>1233</v>
      </c>
      <c r="J241" s="5" t="str">
        <f>IFERROR(__xludf.DUMMYFUNCTION("""COMPUTED_VALUE"""),"https://drive.google.com/thumbnail?id=18CkOXzBUU1MI37uWRHJxsrUFUc7xDqfI&amp;sz=s1000")</f>
        <v>https://drive.google.com/thumbnail?id=18CkOXzBUU1MI37uWRHJxsrUFUc7xDqfI&amp;sz=s1000</v>
      </c>
      <c r="K241" s="6" t="s">
        <v>1234</v>
      </c>
      <c r="L241" s="6"/>
      <c r="M241" s="2" t="s">
        <v>143</v>
      </c>
      <c r="O241" s="7" t="s">
        <v>1235</v>
      </c>
    </row>
    <row r="242">
      <c r="A242" s="2">
        <v>241.0</v>
      </c>
      <c r="B242" s="2" t="s">
        <v>1236</v>
      </c>
      <c r="C242" s="2" t="s">
        <v>36</v>
      </c>
      <c r="D242" s="2" t="s">
        <v>41</v>
      </c>
      <c r="E242" s="2" t="s">
        <v>88</v>
      </c>
      <c r="F242" s="2">
        <v>3.0</v>
      </c>
      <c r="G242" s="2">
        <v>1.0</v>
      </c>
      <c r="H242" s="2">
        <v>1.0</v>
      </c>
      <c r="I242" s="5" t="s">
        <v>1237</v>
      </c>
      <c r="J242" s="5" t="str">
        <f>IFERROR(__xludf.DUMMYFUNCTION("""COMPUTED_VALUE"""),"https://drive.google.com/thumbnail?id=18IXlrFZzP1oDoy1iQNoVrkpjbuHkdigH&amp;sz=s1000")</f>
        <v>https://drive.google.com/thumbnail?id=18IXlrFZzP1oDoy1iQNoVrkpjbuHkdigH&amp;sz=s1000</v>
      </c>
      <c r="K242" s="6" t="s">
        <v>1238</v>
      </c>
      <c r="L242" s="6"/>
      <c r="M242" s="2" t="s">
        <v>143</v>
      </c>
      <c r="O242" s="7" t="s">
        <v>1239</v>
      </c>
    </row>
    <row r="243">
      <c r="A243" s="2">
        <v>242.0</v>
      </c>
      <c r="B243" s="2" t="s">
        <v>1240</v>
      </c>
      <c r="C243" s="2" t="s">
        <v>19</v>
      </c>
      <c r="D243" s="2" t="s">
        <v>39</v>
      </c>
      <c r="E243" s="2" t="s">
        <v>126</v>
      </c>
      <c r="F243" s="2">
        <v>3.0</v>
      </c>
      <c r="G243" s="2">
        <v>1.0</v>
      </c>
      <c r="H243" s="2">
        <v>1.0</v>
      </c>
      <c r="I243" s="5" t="s">
        <v>1241</v>
      </c>
      <c r="J243" s="5" t="str">
        <f>IFERROR(__xludf.DUMMYFUNCTION("""COMPUTED_VALUE"""),"https://drive.google.com/thumbnail?id=18NHiqIqqjfNG5e0l-ETv1vBG0ubrasvU&amp;sz=s1000")</f>
        <v>https://drive.google.com/thumbnail?id=18NHiqIqqjfNG5e0l-ETv1vBG0ubrasvU&amp;sz=s1000</v>
      </c>
      <c r="K243" s="6" t="s">
        <v>1242</v>
      </c>
      <c r="L243" s="6"/>
      <c r="M243" s="2" t="s">
        <v>143</v>
      </c>
      <c r="O243" s="7" t="s">
        <v>1243</v>
      </c>
    </row>
    <row r="244">
      <c r="A244" s="2">
        <v>243.0</v>
      </c>
      <c r="B244" s="2" t="s">
        <v>1244</v>
      </c>
      <c r="C244" s="2" t="s">
        <v>19</v>
      </c>
      <c r="D244" s="2" t="s">
        <v>47</v>
      </c>
      <c r="E244" s="2" t="s">
        <v>88</v>
      </c>
      <c r="F244" s="2">
        <v>5.0</v>
      </c>
      <c r="G244" s="2">
        <v>1.0</v>
      </c>
      <c r="H244" s="2">
        <v>1.0</v>
      </c>
      <c r="I244" s="5" t="s">
        <v>1245</v>
      </c>
      <c r="J244" s="5" t="str">
        <f>IFERROR(__xludf.DUMMYFUNCTION("""COMPUTED_VALUE"""),"https://drive.google.com/thumbnail?id=1EPZGSYsxrL28sZvxy25Vc7dC5JqBKVOJ&amp;sz=s1000")</f>
        <v>https://drive.google.com/thumbnail?id=1EPZGSYsxrL28sZvxy25Vc7dC5JqBKVOJ&amp;sz=s1000</v>
      </c>
      <c r="K244" s="6" t="s">
        <v>1246</v>
      </c>
      <c r="L244" s="6"/>
      <c r="M244" s="3"/>
      <c r="O244" s="7" t="s">
        <v>1247</v>
      </c>
    </row>
    <row r="245">
      <c r="A245" s="2">
        <v>244.0</v>
      </c>
      <c r="B245" s="2" t="s">
        <v>1248</v>
      </c>
      <c r="C245" s="2" t="s">
        <v>36</v>
      </c>
      <c r="D245" s="2" t="s">
        <v>47</v>
      </c>
      <c r="E245" s="2" t="s">
        <v>68</v>
      </c>
      <c r="F245" s="2">
        <v>3.0</v>
      </c>
      <c r="G245" s="2">
        <v>1.0</v>
      </c>
      <c r="H245" s="2">
        <v>4.0</v>
      </c>
      <c r="I245" s="5" t="s">
        <v>1249</v>
      </c>
      <c r="J245" s="5" t="str">
        <f>IFERROR(__xludf.DUMMYFUNCTION("""COMPUTED_VALUE"""),"https://drive.google.com/thumbnail?id=18USsFOPLDynWWmFTm4CB9DEsy1WMOPS_&amp;sz=s1000")</f>
        <v>https://drive.google.com/thumbnail?id=18USsFOPLDynWWmFTm4CB9DEsy1WMOPS_&amp;sz=s1000</v>
      </c>
      <c r="K245" s="6" t="s">
        <v>1250</v>
      </c>
      <c r="L245" s="6"/>
      <c r="M245" s="2" t="s">
        <v>139</v>
      </c>
      <c r="O245" s="7" t="s">
        <v>1251</v>
      </c>
    </row>
    <row r="246">
      <c r="A246" s="2">
        <v>245.0</v>
      </c>
      <c r="B246" s="2" t="s">
        <v>1252</v>
      </c>
      <c r="C246" s="2" t="s">
        <v>36</v>
      </c>
      <c r="D246" s="2" t="s">
        <v>47</v>
      </c>
      <c r="E246" s="3"/>
      <c r="F246" s="2">
        <v>3.0</v>
      </c>
      <c r="G246" s="2">
        <v>1.0</v>
      </c>
      <c r="H246" s="2">
        <v>6.0</v>
      </c>
      <c r="I246" s="5" t="s">
        <v>1253</v>
      </c>
      <c r="J246" s="5" t="str">
        <f>IFERROR(__xludf.DUMMYFUNCTION("""COMPUTED_VALUE"""),"https://drive.google.com/thumbnail?id=18UyvH9xhoNhOZ4wtkUpwzN_TXOknTWzo&amp;sz=s1000")</f>
        <v>https://drive.google.com/thumbnail?id=18UyvH9xhoNhOZ4wtkUpwzN_TXOknTWzo&amp;sz=s1000</v>
      </c>
      <c r="K246" s="6" t="s">
        <v>1254</v>
      </c>
      <c r="L246" s="6"/>
      <c r="M246" s="2" t="s">
        <v>139</v>
      </c>
      <c r="N246" s="2" t="s">
        <v>1255</v>
      </c>
      <c r="O246" s="7" t="s">
        <v>1256</v>
      </c>
    </row>
    <row r="247">
      <c r="A247" s="2">
        <v>246.0</v>
      </c>
      <c r="B247" s="2" t="s">
        <v>1257</v>
      </c>
      <c r="C247" s="2" t="s">
        <v>19</v>
      </c>
      <c r="D247" s="3"/>
      <c r="E247" s="2" t="s">
        <v>92</v>
      </c>
      <c r="F247" s="2">
        <v>3.0</v>
      </c>
      <c r="G247" s="2">
        <v>1.0</v>
      </c>
      <c r="H247" s="2">
        <v>1.0</v>
      </c>
      <c r="I247" s="5" t="s">
        <v>1258</v>
      </c>
      <c r="J247" s="5" t="str">
        <f>IFERROR(__xludf.DUMMYFUNCTION("""COMPUTED_VALUE"""),"https://drive.google.com/thumbnail?id=18W0pV7CDclgGYMf6sgcqOXZT29F_Ppo0&amp;sz=s1000")</f>
        <v>https://drive.google.com/thumbnail?id=18W0pV7CDclgGYMf6sgcqOXZT29F_Ppo0&amp;sz=s1000</v>
      </c>
      <c r="K247" s="6" t="s">
        <v>1259</v>
      </c>
      <c r="L247" s="6"/>
      <c r="M247" s="2" t="s">
        <v>143</v>
      </c>
      <c r="N247" s="2" t="s">
        <v>1260</v>
      </c>
      <c r="O247" s="7" t="s">
        <v>1261</v>
      </c>
    </row>
    <row r="248">
      <c r="A248" s="2">
        <v>247.0</v>
      </c>
      <c r="B248" s="2" t="s">
        <v>1262</v>
      </c>
      <c r="C248" s="2" t="s">
        <v>32</v>
      </c>
      <c r="D248" s="2" t="s">
        <v>39</v>
      </c>
      <c r="E248" s="2" t="s">
        <v>79</v>
      </c>
      <c r="F248" s="2">
        <v>3.0</v>
      </c>
      <c r="G248" s="2">
        <v>2.0</v>
      </c>
      <c r="H248" s="2">
        <v>10.0</v>
      </c>
      <c r="I248" s="5" t="s">
        <v>1263</v>
      </c>
      <c r="J248" s="5" t="str">
        <f>IFERROR(__xludf.DUMMYFUNCTION("""COMPUTED_VALUE"""),"https://drive.google.com/thumbnail?id=18WxXdMLvVjUDIhYq5mrBV82AVHDNLVds&amp;sz=s1000")</f>
        <v>https://drive.google.com/thumbnail?id=18WxXdMLvVjUDIhYq5mrBV82AVHDNLVds&amp;sz=s1000</v>
      </c>
      <c r="K248" s="6" t="s">
        <v>1264</v>
      </c>
      <c r="L248" s="6"/>
      <c r="M248" s="2" t="s">
        <v>143</v>
      </c>
      <c r="N248" s="2" t="s">
        <v>1265</v>
      </c>
      <c r="O248" s="7" t="s">
        <v>1266</v>
      </c>
    </row>
    <row r="249">
      <c r="A249" s="2">
        <v>248.0</v>
      </c>
      <c r="B249" s="2" t="s">
        <v>1267</v>
      </c>
      <c r="C249" s="2" t="s">
        <v>12</v>
      </c>
      <c r="D249" s="2" t="s">
        <v>39</v>
      </c>
      <c r="E249" s="2" t="s">
        <v>88</v>
      </c>
      <c r="F249" s="2">
        <v>6.0</v>
      </c>
      <c r="G249" s="2">
        <v>1.0</v>
      </c>
      <c r="H249" s="2">
        <v>6.0</v>
      </c>
      <c r="I249" s="5" t="s">
        <v>1268</v>
      </c>
      <c r="J249" s="5" t="str">
        <f>IFERROR(__xludf.DUMMYFUNCTION("""COMPUTED_VALUE"""),"https://drive.google.com/thumbnail?id=18_ZG-yKmhvwTu8nAUdExLimQZUVoOvyy&amp;sz=s1000")</f>
        <v>https://drive.google.com/thumbnail?id=18_ZG-yKmhvwTu8nAUdExLimQZUVoOvyy&amp;sz=s1000</v>
      </c>
      <c r="K249" s="6" t="s">
        <v>1269</v>
      </c>
      <c r="L249" s="6"/>
      <c r="M249" s="2" t="s">
        <v>143</v>
      </c>
      <c r="O249" s="7" t="s">
        <v>1270</v>
      </c>
    </row>
    <row r="250">
      <c r="A250" s="2">
        <v>249.0</v>
      </c>
      <c r="B250" s="2" t="s">
        <v>1271</v>
      </c>
      <c r="C250" s="2" t="s">
        <v>28</v>
      </c>
      <c r="D250" s="2" t="s">
        <v>47</v>
      </c>
      <c r="E250" s="2" t="s">
        <v>24</v>
      </c>
      <c r="F250" s="2">
        <v>8.0</v>
      </c>
      <c r="G250" s="2">
        <v>1.0</v>
      </c>
      <c r="H250" s="2">
        <v>4.0</v>
      </c>
      <c r="I250" s="5" t="s">
        <v>1272</v>
      </c>
      <c r="J250" s="5" t="str">
        <f>IFERROR(__xludf.DUMMYFUNCTION("""COMPUTED_VALUE"""),"https://drive.google.com/thumbnail?id=18Z-eDCgX5-FrC5vCrap2x4bUOebdgb7B&amp;sz=s1000")</f>
        <v>https://drive.google.com/thumbnail?id=18Z-eDCgX5-FrC5vCrap2x4bUOebdgb7B&amp;sz=s1000</v>
      </c>
      <c r="K250" s="6" t="s">
        <v>1273</v>
      </c>
      <c r="L250" s="6"/>
      <c r="M250" s="2" t="s">
        <v>143</v>
      </c>
      <c r="O250" s="7" t="s">
        <v>1274</v>
      </c>
    </row>
    <row r="251">
      <c r="A251" s="2">
        <v>250.0</v>
      </c>
      <c r="B251" s="2" t="s">
        <v>1275</v>
      </c>
      <c r="C251" s="2" t="s">
        <v>28</v>
      </c>
      <c r="D251" s="2" t="s">
        <v>47</v>
      </c>
      <c r="E251" s="2" t="s">
        <v>24</v>
      </c>
      <c r="F251" s="2">
        <v>3.0</v>
      </c>
      <c r="G251" s="2">
        <v>1.0</v>
      </c>
      <c r="H251" s="2">
        <v>1.0</v>
      </c>
      <c r="I251" s="5" t="s">
        <v>1276</v>
      </c>
      <c r="J251" s="5" t="str">
        <f>IFERROR(__xludf.DUMMYFUNCTION("""COMPUTED_VALUE"""),"https://drive.google.com/thumbnail?id=17bp3Qr0wqS_1RUT96fgvTjLmQP7A_wiV&amp;sz=s1000")</f>
        <v>https://drive.google.com/thumbnail?id=17bp3Qr0wqS_1RUT96fgvTjLmQP7A_wiV&amp;sz=s1000</v>
      </c>
      <c r="K251" s="6" t="s">
        <v>1277</v>
      </c>
      <c r="L251" s="6"/>
      <c r="M251" s="3"/>
      <c r="O251" s="7" t="s">
        <v>1278</v>
      </c>
    </row>
    <row r="252">
      <c r="A252" s="2">
        <v>251.0</v>
      </c>
      <c r="B252" s="2" t="s">
        <v>1279</v>
      </c>
      <c r="C252" s="2" t="s">
        <v>19</v>
      </c>
      <c r="D252" s="2" t="s">
        <v>39</v>
      </c>
      <c r="E252" s="2" t="s">
        <v>122</v>
      </c>
      <c r="F252" s="2">
        <v>3.0</v>
      </c>
      <c r="G252" s="2">
        <v>1.0</v>
      </c>
      <c r="H252" s="2">
        <v>6.0</v>
      </c>
      <c r="I252" s="5" t="s">
        <v>1280</v>
      </c>
      <c r="J252" s="5" t="str">
        <f>IFERROR(__xludf.DUMMYFUNCTION("""COMPUTED_VALUE"""),"https://drive.google.com/thumbnail?id=1ArpAnByrN8qfCK7q52sDQnpIj7I2z5a8&amp;sz=s1000")</f>
        <v>https://drive.google.com/thumbnail?id=1ArpAnByrN8qfCK7q52sDQnpIj7I2z5a8&amp;sz=s1000</v>
      </c>
      <c r="K252" s="6" t="s">
        <v>1281</v>
      </c>
      <c r="L252" s="6"/>
      <c r="M252" s="2" t="s">
        <v>139</v>
      </c>
      <c r="N252" s="2" t="s">
        <v>1282</v>
      </c>
      <c r="O252" s="7" t="s">
        <v>1283</v>
      </c>
    </row>
    <row r="253">
      <c r="A253" s="2">
        <v>252.0</v>
      </c>
      <c r="B253" s="2" t="s">
        <v>1284</v>
      </c>
      <c r="C253" s="2" t="s">
        <v>19</v>
      </c>
      <c r="D253" s="2" t="s">
        <v>39</v>
      </c>
      <c r="E253" s="2" t="s">
        <v>68</v>
      </c>
      <c r="F253" s="2">
        <v>4.0</v>
      </c>
      <c r="G253" s="2">
        <v>1.0</v>
      </c>
      <c r="H253" s="2">
        <v>10.0</v>
      </c>
      <c r="I253" s="5" t="s">
        <v>1285</v>
      </c>
      <c r="J253" s="5" t="str">
        <f>IFERROR(__xludf.DUMMYFUNCTION("""COMPUTED_VALUE"""),"https://drive.google.com/thumbnail?id=1DyvRm6G1PYkRx8Ndd9AsTewVbgh8GXW5&amp;sz=s1000")</f>
        <v>https://drive.google.com/thumbnail?id=1DyvRm6G1PYkRx8Ndd9AsTewVbgh8GXW5&amp;sz=s1000</v>
      </c>
      <c r="K253" s="6" t="s">
        <v>1286</v>
      </c>
      <c r="L253" s="6"/>
      <c r="M253" s="2" t="s">
        <v>139</v>
      </c>
      <c r="N253" s="2" t="s">
        <v>1287</v>
      </c>
      <c r="O253" s="7" t="s">
        <v>1288</v>
      </c>
    </row>
    <row r="254">
      <c r="A254" s="2">
        <v>253.0</v>
      </c>
      <c r="B254" s="2" t="s">
        <v>1289</v>
      </c>
      <c r="C254" s="2" t="s">
        <v>36</v>
      </c>
      <c r="D254" s="3"/>
      <c r="E254" s="3"/>
      <c r="F254" s="2">
        <v>3.0</v>
      </c>
      <c r="G254" s="2">
        <v>1.0</v>
      </c>
      <c r="H254" s="2">
        <v>1.0</v>
      </c>
      <c r="I254" s="5" t="s">
        <v>1290</v>
      </c>
      <c r="J254" s="5" t="str">
        <f>IFERROR(__xludf.DUMMYFUNCTION("""COMPUTED_VALUE"""),"https://drive.google.com/thumbnail?id=14HiQCI0HhQCXQnABrw-CiEUkcTbpqd0h&amp;sz=s1000")</f>
        <v>https://drive.google.com/thumbnail?id=14HiQCI0HhQCXQnABrw-CiEUkcTbpqd0h&amp;sz=s1000</v>
      </c>
      <c r="K254" s="6" t="s">
        <v>1291</v>
      </c>
      <c r="L254" s="6"/>
      <c r="M254" s="2" t="s">
        <v>139</v>
      </c>
      <c r="O254" s="7" t="s">
        <v>1292</v>
      </c>
    </row>
    <row r="255">
      <c r="A255" s="2">
        <v>254.0</v>
      </c>
      <c r="B255" s="2" t="s">
        <v>1293</v>
      </c>
      <c r="C255" s="2" t="s">
        <v>21</v>
      </c>
      <c r="D255" s="2" t="s">
        <v>39</v>
      </c>
      <c r="E255" s="2" t="s">
        <v>79</v>
      </c>
      <c r="F255" s="2">
        <v>3.0</v>
      </c>
      <c r="G255" s="2">
        <v>1.0</v>
      </c>
      <c r="H255" s="2">
        <v>10.0</v>
      </c>
      <c r="I255" s="5" t="s">
        <v>1294</v>
      </c>
      <c r="J255" s="5" t="str">
        <f>IFERROR(__xludf.DUMMYFUNCTION("""COMPUTED_VALUE"""),"https://drive.google.com/thumbnail?id=1TGtyLhjq6YlZTngMwVW3pbgoj6pjIZn7&amp;sz=s1000")</f>
        <v>https://drive.google.com/thumbnail?id=1TGtyLhjq6YlZTngMwVW3pbgoj6pjIZn7&amp;sz=s1000</v>
      </c>
      <c r="K255" s="6" t="s">
        <v>1295</v>
      </c>
      <c r="L255" s="6"/>
      <c r="M255" s="2" t="s">
        <v>139</v>
      </c>
      <c r="N255" s="2" t="s">
        <v>1296</v>
      </c>
      <c r="O255" s="7" t="s">
        <v>1297</v>
      </c>
    </row>
    <row r="256">
      <c r="A256" s="2">
        <v>255.0</v>
      </c>
      <c r="B256" s="2" t="s">
        <v>1298</v>
      </c>
      <c r="C256" s="2" t="s">
        <v>21</v>
      </c>
      <c r="D256" s="2" t="s">
        <v>75</v>
      </c>
      <c r="E256" s="2" t="s">
        <v>79</v>
      </c>
      <c r="F256" s="2">
        <v>3.0</v>
      </c>
      <c r="G256" s="2">
        <v>2.0</v>
      </c>
      <c r="H256" s="2">
        <v>4.0</v>
      </c>
      <c r="I256" s="5" t="s">
        <v>1299</v>
      </c>
      <c r="J256" s="5" t="str">
        <f>IFERROR(__xludf.DUMMYFUNCTION("""COMPUTED_VALUE"""),"https://drive.google.com/thumbnail?id=1WuLFIcXZmU7SPOWw7RpekwM5arKlOR2G&amp;sz=s1000")</f>
        <v>https://drive.google.com/thumbnail?id=1WuLFIcXZmU7SPOWw7RpekwM5arKlOR2G&amp;sz=s1000</v>
      </c>
      <c r="K256" s="6" t="s">
        <v>1300</v>
      </c>
      <c r="L256" s="6"/>
      <c r="M256" s="2" t="s">
        <v>139</v>
      </c>
      <c r="O256" s="7" t="s">
        <v>1301</v>
      </c>
    </row>
    <row r="257">
      <c r="A257" s="2">
        <v>256.0</v>
      </c>
      <c r="B257" s="2" t="s">
        <v>1302</v>
      </c>
      <c r="C257" s="2" t="s">
        <v>19</v>
      </c>
      <c r="D257" s="2" t="s">
        <v>53</v>
      </c>
      <c r="E257" s="2" t="s">
        <v>68</v>
      </c>
      <c r="F257" s="2">
        <v>3.0</v>
      </c>
      <c r="G257" s="2">
        <v>2.0</v>
      </c>
      <c r="H257" s="2">
        <v>4.0</v>
      </c>
      <c r="I257" s="5" t="s">
        <v>1303</v>
      </c>
      <c r="J257" s="5" t="str">
        <f>IFERROR(__xludf.DUMMYFUNCTION("""COMPUTED_VALUE"""),"https://drive.google.com/thumbnail?id=1fajqmWxMDwuT4kQ3Xl9r2u7N0pxkbPGM&amp;sz=s1000")</f>
        <v>https://drive.google.com/thumbnail?id=1fajqmWxMDwuT4kQ3Xl9r2u7N0pxkbPGM&amp;sz=s1000</v>
      </c>
      <c r="K257" s="6" t="s">
        <v>1304</v>
      </c>
      <c r="L257" s="6"/>
      <c r="M257" s="2" t="s">
        <v>139</v>
      </c>
      <c r="O257" s="7" t="s">
        <v>1305</v>
      </c>
    </row>
    <row r="258">
      <c r="A258" s="2">
        <v>257.0</v>
      </c>
      <c r="B258" s="2" t="s">
        <v>1306</v>
      </c>
      <c r="C258" s="2" t="s">
        <v>19</v>
      </c>
      <c r="D258" s="2" t="s">
        <v>39</v>
      </c>
      <c r="E258" s="2" t="s">
        <v>49</v>
      </c>
      <c r="F258" s="2">
        <v>3.0</v>
      </c>
      <c r="G258" s="2">
        <v>1.0</v>
      </c>
      <c r="H258" s="2">
        <v>6.0</v>
      </c>
      <c r="I258" s="5" t="s">
        <v>1307</v>
      </c>
      <c r="J258" s="5" t="str">
        <f>IFERROR(__xludf.DUMMYFUNCTION("""COMPUTED_VALUE"""),"https://drive.google.com/thumbnail?id=153_TQoR3XRiVVhjytrjFSs9fMOnt1YTW&amp;sz=s1000")</f>
        <v>https://drive.google.com/thumbnail?id=153_TQoR3XRiVVhjytrjFSs9fMOnt1YTW&amp;sz=s1000</v>
      </c>
      <c r="K258" s="6" t="s">
        <v>1308</v>
      </c>
      <c r="L258" s="6"/>
      <c r="M258" s="2" t="s">
        <v>139</v>
      </c>
      <c r="N258" s="2" t="s">
        <v>1309</v>
      </c>
      <c r="O258" s="7" t="s">
        <v>1310</v>
      </c>
    </row>
    <row r="259">
      <c r="A259" s="2">
        <v>258.0</v>
      </c>
      <c r="B259" s="2" t="s">
        <v>1311</v>
      </c>
      <c r="C259" s="2" t="s">
        <v>19</v>
      </c>
      <c r="D259" s="2" t="s">
        <v>39</v>
      </c>
      <c r="E259" s="2" t="s">
        <v>49</v>
      </c>
      <c r="F259" s="2">
        <v>4.0</v>
      </c>
      <c r="G259" s="2">
        <v>1.0</v>
      </c>
      <c r="H259" s="2">
        <v>12.0</v>
      </c>
      <c r="I259" s="5" t="s">
        <v>1312</v>
      </c>
      <c r="J259" s="5" t="str">
        <f>IFERROR(__xludf.DUMMYFUNCTION("""COMPUTED_VALUE"""),"https://drive.google.com/thumbnail?id=1oFly0IRvnuzDOeZodTrKCu9RxlUMkXZt&amp;sz=s1000")</f>
        <v>https://drive.google.com/thumbnail?id=1oFly0IRvnuzDOeZodTrKCu9RxlUMkXZt&amp;sz=s1000</v>
      </c>
      <c r="K259" s="6" t="s">
        <v>1313</v>
      </c>
      <c r="L259" s="6"/>
      <c r="M259" s="2" t="s">
        <v>139</v>
      </c>
      <c r="N259" s="2" t="s">
        <v>1314</v>
      </c>
      <c r="O259" s="7" t="s">
        <v>1315</v>
      </c>
    </row>
    <row r="260">
      <c r="A260" s="2">
        <v>259.0</v>
      </c>
      <c r="B260" s="9" t="s">
        <v>1316</v>
      </c>
      <c r="C260" s="2" t="s">
        <v>36</v>
      </c>
      <c r="D260" s="3"/>
      <c r="E260" s="3"/>
      <c r="F260" s="2">
        <v>3.0</v>
      </c>
      <c r="G260" s="2">
        <v>1.0</v>
      </c>
      <c r="H260" s="2">
        <v>1.0</v>
      </c>
      <c r="I260" s="5" t="s">
        <v>1317</v>
      </c>
      <c r="J260" s="5" t="str">
        <f>IFERROR(__xludf.DUMMYFUNCTION("""COMPUTED_VALUE"""),"https://drive.google.com/thumbnail?id=1hLUPqga3HoSBFxp3CVdjTTR079MiQ3Vi&amp;sz=s1000")</f>
        <v>https://drive.google.com/thumbnail?id=1hLUPqga3HoSBFxp3CVdjTTR079MiQ3Vi&amp;sz=s1000</v>
      </c>
      <c r="K260" s="6" t="s">
        <v>1318</v>
      </c>
      <c r="L260" s="6"/>
      <c r="M260" s="2" t="s">
        <v>139</v>
      </c>
      <c r="O260" s="7" t="s">
        <v>1319</v>
      </c>
    </row>
    <row r="261">
      <c r="A261" s="2">
        <v>260.0</v>
      </c>
      <c r="B261" s="2" t="s">
        <v>1320</v>
      </c>
      <c r="C261" s="3"/>
      <c r="D261" s="2" t="s">
        <v>47</v>
      </c>
      <c r="E261" s="2" t="s">
        <v>68</v>
      </c>
      <c r="F261" s="2">
        <v>4.0</v>
      </c>
      <c r="G261" s="2">
        <v>1.0</v>
      </c>
      <c r="H261" s="2">
        <v>8.0</v>
      </c>
      <c r="I261" s="5" t="s">
        <v>1321</v>
      </c>
      <c r="J261" s="5" t="str">
        <f>IFERROR(__xludf.DUMMYFUNCTION("""COMPUTED_VALUE"""),"https://drive.google.com/thumbnail?id=1qlbMlwWn3bIanIfH6fQtY-P4VceYwtOh&amp;sz=s1000")</f>
        <v>https://drive.google.com/thumbnail?id=1qlbMlwWn3bIanIfH6fQtY-P4VceYwtOh&amp;sz=s1000</v>
      </c>
      <c r="K261" s="6" t="s">
        <v>1322</v>
      </c>
      <c r="L261" s="6"/>
      <c r="M261" s="2" t="s">
        <v>139</v>
      </c>
      <c r="N261" s="2" t="s">
        <v>1323</v>
      </c>
      <c r="O261" s="7" t="s">
        <v>1324</v>
      </c>
    </row>
    <row r="262">
      <c r="A262" s="2">
        <v>261.0</v>
      </c>
      <c r="B262" s="2" t="s">
        <v>1325</v>
      </c>
      <c r="C262" s="2" t="s">
        <v>19</v>
      </c>
      <c r="D262" s="2" t="s">
        <v>47</v>
      </c>
      <c r="E262" s="2" t="s">
        <v>24</v>
      </c>
      <c r="F262" s="2">
        <v>3.0</v>
      </c>
      <c r="G262" s="2">
        <v>1.0</v>
      </c>
      <c r="H262" s="2">
        <v>8.0</v>
      </c>
      <c r="I262" s="5" t="s">
        <v>1326</v>
      </c>
      <c r="J262" s="5" t="str">
        <f>IFERROR(__xludf.DUMMYFUNCTION("""COMPUTED_VALUE"""),"https://drive.google.com/thumbnail?id=1UJpqBzdTOFdPmCK2Yql9oJFrsD8knf_I&amp;sz=s1000")</f>
        <v>https://drive.google.com/thumbnail?id=1UJpqBzdTOFdPmCK2Yql9oJFrsD8knf_I&amp;sz=s1000</v>
      </c>
      <c r="K262" s="6" t="s">
        <v>1327</v>
      </c>
      <c r="L262" s="6"/>
      <c r="M262" s="2" t="s">
        <v>139</v>
      </c>
      <c r="N262" s="2" t="s">
        <v>1328</v>
      </c>
      <c r="O262" s="7" t="s">
        <v>1329</v>
      </c>
    </row>
    <row r="263">
      <c r="A263" s="2">
        <v>262.0</v>
      </c>
      <c r="B263" s="2" t="s">
        <v>1330</v>
      </c>
      <c r="C263" s="2" t="s">
        <v>36</v>
      </c>
      <c r="D263" s="2" t="s">
        <v>47</v>
      </c>
      <c r="E263" s="2" t="s">
        <v>128</v>
      </c>
      <c r="F263" s="2">
        <v>3.0</v>
      </c>
      <c r="G263" s="2">
        <v>1.0</v>
      </c>
      <c r="H263" s="2">
        <v>1.0</v>
      </c>
      <c r="I263" s="5" t="s">
        <v>1331</v>
      </c>
      <c r="J263" s="5" t="str">
        <f>IFERROR(__xludf.DUMMYFUNCTION("""COMPUTED_VALUE"""),"https://drive.google.com/thumbnail?id=1q2RkxhFx2GuKaHCFCppMscxVn-lzt8xY&amp;sz=s1000")</f>
        <v>https://drive.google.com/thumbnail?id=1q2RkxhFx2GuKaHCFCppMscxVn-lzt8xY&amp;sz=s1000</v>
      </c>
      <c r="K263" s="6" t="s">
        <v>1332</v>
      </c>
      <c r="L263" s="6"/>
      <c r="M263" s="2" t="s">
        <v>139</v>
      </c>
      <c r="N263" s="2" t="s">
        <v>1333</v>
      </c>
      <c r="O263" s="7" t="s">
        <v>1334</v>
      </c>
    </row>
    <row r="264">
      <c r="A264" s="2">
        <v>263.0</v>
      </c>
      <c r="B264" s="2" t="s">
        <v>1335</v>
      </c>
      <c r="C264" s="2" t="s">
        <v>19</v>
      </c>
      <c r="D264" s="2" t="s">
        <v>57</v>
      </c>
      <c r="E264" s="2" t="s">
        <v>122</v>
      </c>
      <c r="F264" s="2">
        <v>3.0</v>
      </c>
      <c r="G264" s="2">
        <v>1.0</v>
      </c>
      <c r="H264" s="2">
        <v>2.0</v>
      </c>
      <c r="I264" s="5" t="s">
        <v>1336</v>
      </c>
      <c r="J264" s="5" t="str">
        <f>IFERROR(__xludf.DUMMYFUNCTION("""COMPUTED_VALUE"""),"https://drive.google.com/thumbnail?id=17V632Jo-xgoW6WTUYzsHjsp1BEjpbcrl&amp;sz=s1000")</f>
        <v>https://drive.google.com/thumbnail?id=17V632Jo-xgoW6WTUYzsHjsp1BEjpbcrl&amp;sz=s1000</v>
      </c>
      <c r="K264" s="6" t="s">
        <v>1337</v>
      </c>
      <c r="L264" s="6"/>
      <c r="M264" s="2" t="s">
        <v>139</v>
      </c>
      <c r="N264" s="2" t="s">
        <v>1338</v>
      </c>
      <c r="O264" s="7" t="s">
        <v>1339</v>
      </c>
    </row>
    <row r="265">
      <c r="A265" s="2">
        <v>264.0</v>
      </c>
      <c r="B265" s="2" t="s">
        <v>1340</v>
      </c>
      <c r="C265" s="2" t="s">
        <v>36</v>
      </c>
      <c r="D265" s="3"/>
      <c r="E265" s="3"/>
      <c r="F265" s="2">
        <v>3.0</v>
      </c>
      <c r="G265" s="2">
        <v>1.0</v>
      </c>
      <c r="H265" s="2">
        <v>1.0</v>
      </c>
      <c r="I265" s="5" t="s">
        <v>1341</v>
      </c>
      <c r="J265" s="5" t="str">
        <f>IFERROR(__xludf.DUMMYFUNCTION("""COMPUTED_VALUE"""),"https://drive.google.com/thumbnail?id=15EAW5T234qa5ZMMOC4t8XMHHsdV7GnQ5&amp;sz=s1000")</f>
        <v>https://drive.google.com/thumbnail?id=15EAW5T234qa5ZMMOC4t8XMHHsdV7GnQ5&amp;sz=s1000</v>
      </c>
      <c r="K265" s="6" t="s">
        <v>1342</v>
      </c>
      <c r="L265" s="6"/>
      <c r="M265" s="2" t="s">
        <v>139</v>
      </c>
      <c r="O265" s="7" t="s">
        <v>1343</v>
      </c>
    </row>
    <row r="266">
      <c r="A266" s="2">
        <v>265.0</v>
      </c>
      <c r="B266" s="2" t="s">
        <v>1344</v>
      </c>
      <c r="C266" s="2" t="s">
        <v>12</v>
      </c>
      <c r="D266" s="2" t="s">
        <v>39</v>
      </c>
      <c r="E266" s="2" t="s">
        <v>79</v>
      </c>
      <c r="F266" s="2">
        <v>3.0</v>
      </c>
      <c r="G266" s="2">
        <v>1.0</v>
      </c>
      <c r="H266" s="2">
        <v>10.0</v>
      </c>
      <c r="I266" s="5" t="s">
        <v>1345</v>
      </c>
      <c r="J266" s="5" t="str">
        <f>IFERROR(__xludf.DUMMYFUNCTION("""COMPUTED_VALUE"""),"https://drive.google.com/thumbnail?id=1OKzaiPtNxYZyJ77S8DXvPnRvU36f6w_Z&amp;sz=s1000")</f>
        <v>https://drive.google.com/thumbnail?id=1OKzaiPtNxYZyJ77S8DXvPnRvU36f6w_Z&amp;sz=s1000</v>
      </c>
      <c r="K266" s="6" t="s">
        <v>1346</v>
      </c>
      <c r="L266" s="6"/>
      <c r="M266" s="2" t="s">
        <v>139</v>
      </c>
      <c r="N266" s="2" t="s">
        <v>1347</v>
      </c>
      <c r="O266" s="7" t="s">
        <v>1348</v>
      </c>
    </row>
    <row r="267">
      <c r="A267" s="2">
        <v>266.0</v>
      </c>
      <c r="B267" s="2" t="s">
        <v>1349</v>
      </c>
      <c r="C267" s="2" t="s">
        <v>32</v>
      </c>
      <c r="D267" s="2" t="s">
        <v>39</v>
      </c>
      <c r="E267" s="2" t="s">
        <v>68</v>
      </c>
      <c r="F267" s="2">
        <v>4.0</v>
      </c>
      <c r="G267" s="2">
        <v>2.0</v>
      </c>
      <c r="H267" s="2">
        <v>10.0</v>
      </c>
      <c r="I267" s="5" t="s">
        <v>1350</v>
      </c>
      <c r="J267" s="5" t="str">
        <f>IFERROR(__xludf.DUMMYFUNCTION("""COMPUTED_VALUE"""),"https://drive.google.com/thumbnail?id=1aSzEvj5MbzqcMCOn1c8E246O60Rlyd7c&amp;sz=s1000")</f>
        <v>https://drive.google.com/thumbnail?id=1aSzEvj5MbzqcMCOn1c8E246O60Rlyd7c&amp;sz=s1000</v>
      </c>
      <c r="K267" s="6" t="s">
        <v>1351</v>
      </c>
      <c r="L267" s="6"/>
      <c r="M267" s="2" t="s">
        <v>139</v>
      </c>
      <c r="N267" s="2" t="s">
        <v>1352</v>
      </c>
      <c r="O267" s="7" t="s">
        <v>1353</v>
      </c>
    </row>
    <row r="268">
      <c r="A268" s="2">
        <v>267.0</v>
      </c>
      <c r="B268" s="2" t="s">
        <v>1354</v>
      </c>
      <c r="C268" s="2" t="s">
        <v>19</v>
      </c>
      <c r="D268" s="2" t="s">
        <v>39</v>
      </c>
      <c r="E268" s="2" t="s">
        <v>68</v>
      </c>
      <c r="F268" s="2">
        <v>3.0</v>
      </c>
      <c r="G268" s="2">
        <v>1.0</v>
      </c>
      <c r="H268" s="2">
        <v>10.0</v>
      </c>
      <c r="I268" s="5" t="s">
        <v>1355</v>
      </c>
      <c r="J268" s="5" t="str">
        <f>IFERROR(__xludf.DUMMYFUNCTION("""COMPUTED_VALUE"""),"https://drive.google.com/thumbnail?id=1nkDwGJNSDn_RCjYOivtuQYvHeEexuQj1&amp;sz=s1000")</f>
        <v>https://drive.google.com/thumbnail?id=1nkDwGJNSDn_RCjYOivtuQYvHeEexuQj1&amp;sz=s1000</v>
      </c>
      <c r="K268" s="6" t="s">
        <v>1356</v>
      </c>
      <c r="L268" s="6"/>
      <c r="M268" s="2" t="s">
        <v>139</v>
      </c>
      <c r="N268" s="2" t="s">
        <v>1357</v>
      </c>
      <c r="O268" s="7" t="s">
        <v>1358</v>
      </c>
    </row>
    <row r="269">
      <c r="A269" s="2">
        <v>268.0</v>
      </c>
      <c r="B269" s="2" t="s">
        <v>1359</v>
      </c>
      <c r="C269" s="2" t="s">
        <v>24</v>
      </c>
      <c r="D269" s="2" t="s">
        <v>39</v>
      </c>
      <c r="E269" s="2" t="s">
        <v>49</v>
      </c>
      <c r="F269" s="2">
        <v>3.0</v>
      </c>
      <c r="G269" s="2">
        <v>2.0</v>
      </c>
      <c r="H269" s="2">
        <v>4.0</v>
      </c>
      <c r="I269" s="5" t="s">
        <v>1360</v>
      </c>
      <c r="J269" s="5" t="str">
        <f>IFERROR(__xludf.DUMMYFUNCTION("""COMPUTED_VALUE"""),"https://drive.google.com/thumbnail?id=11HZwVXo2Jr_jp7BLzmWRG0eoT_CM8PKZ&amp;sz=s1000")</f>
        <v>https://drive.google.com/thumbnail?id=11HZwVXo2Jr_jp7BLzmWRG0eoT_CM8PKZ&amp;sz=s1000</v>
      </c>
      <c r="K269" s="6" t="s">
        <v>1361</v>
      </c>
      <c r="L269" s="6"/>
      <c r="M269" s="2" t="s">
        <v>139</v>
      </c>
      <c r="N269" s="2" t="s">
        <v>1362</v>
      </c>
      <c r="O269" s="7" t="s">
        <v>1363</v>
      </c>
    </row>
    <row r="270">
      <c r="A270" s="2">
        <v>269.0</v>
      </c>
      <c r="B270" s="2" t="s">
        <v>1364</v>
      </c>
      <c r="C270" s="2" t="s">
        <v>19</v>
      </c>
      <c r="D270" s="2" t="s">
        <v>47</v>
      </c>
      <c r="E270" s="2" t="s">
        <v>68</v>
      </c>
      <c r="F270" s="2">
        <v>3.0</v>
      </c>
      <c r="G270" s="2">
        <v>1.0</v>
      </c>
      <c r="H270" s="2">
        <v>1.0</v>
      </c>
      <c r="I270" s="5" t="s">
        <v>1365</v>
      </c>
      <c r="J270" s="5" t="str">
        <f>IFERROR(__xludf.DUMMYFUNCTION("""COMPUTED_VALUE"""),"https://drive.google.com/thumbnail?id=1yScQ6Vi5Nv_qH67pZdT2pPuPvRSicRZS&amp;sz=s1000")</f>
        <v>https://drive.google.com/thumbnail?id=1yScQ6Vi5Nv_qH67pZdT2pPuPvRSicRZS&amp;sz=s1000</v>
      </c>
      <c r="K270" s="6" t="s">
        <v>1366</v>
      </c>
      <c r="L270" s="6"/>
      <c r="M270" s="2" t="s">
        <v>139</v>
      </c>
      <c r="N270" s="2" t="s">
        <v>1367</v>
      </c>
      <c r="O270" s="7" t="s">
        <v>1368</v>
      </c>
    </row>
    <row r="271">
      <c r="A271" s="2">
        <v>270.0</v>
      </c>
      <c r="B271" s="2" t="s">
        <v>1369</v>
      </c>
      <c r="C271" s="2" t="s">
        <v>19</v>
      </c>
      <c r="D271" s="2" t="s">
        <v>47</v>
      </c>
      <c r="E271" s="2" t="s">
        <v>126</v>
      </c>
      <c r="F271" s="2">
        <v>3.0</v>
      </c>
      <c r="G271" s="2">
        <v>1.0</v>
      </c>
      <c r="H271" s="2">
        <v>6.0</v>
      </c>
      <c r="I271" s="5" t="s">
        <v>1370</v>
      </c>
      <c r="J271" s="5" t="str">
        <f>IFERROR(__xludf.DUMMYFUNCTION("""COMPUTED_VALUE"""),"https://drive.google.com/thumbnail?id=1_2vpjX0N-wf5NcCC7V72qgSaxpM3PL8k&amp;sz=s1000")</f>
        <v>https://drive.google.com/thumbnail?id=1_2vpjX0N-wf5NcCC7V72qgSaxpM3PL8k&amp;sz=s1000</v>
      </c>
      <c r="K271" s="6" t="s">
        <v>1371</v>
      </c>
      <c r="L271" s="6"/>
      <c r="M271" s="2" t="s">
        <v>143</v>
      </c>
      <c r="N271" s="2" t="s">
        <v>1372</v>
      </c>
      <c r="O271" s="7" t="s">
        <v>1373</v>
      </c>
    </row>
    <row r="272">
      <c r="A272" s="2">
        <v>271.0</v>
      </c>
      <c r="B272" s="2" t="s">
        <v>1374</v>
      </c>
      <c r="C272" s="2" t="s">
        <v>19</v>
      </c>
      <c r="D272" s="2" t="s">
        <v>47</v>
      </c>
      <c r="E272" s="2" t="s">
        <v>86</v>
      </c>
      <c r="F272" s="2">
        <v>3.0</v>
      </c>
      <c r="G272" s="2">
        <v>1.0</v>
      </c>
      <c r="H272" s="2">
        <v>10.0</v>
      </c>
      <c r="I272" s="5" t="s">
        <v>1375</v>
      </c>
      <c r="J272" s="5" t="str">
        <f>IFERROR(__xludf.DUMMYFUNCTION("""COMPUTED_VALUE"""),"https://drive.google.com/thumbnail?id=1EeekOBg6Ida4Ku1QVJhL0xLoMmT5tWOo&amp;sz=s1000")</f>
        <v>https://drive.google.com/thumbnail?id=1EeekOBg6Ida4Ku1QVJhL0xLoMmT5tWOo&amp;sz=s1000</v>
      </c>
      <c r="K272" s="6" t="s">
        <v>1376</v>
      </c>
      <c r="L272" s="6"/>
      <c r="M272" s="2" t="s">
        <v>143</v>
      </c>
      <c r="N272" s="2" t="s">
        <v>1377</v>
      </c>
      <c r="O272" s="7" t="s">
        <v>1378</v>
      </c>
    </row>
    <row r="273">
      <c r="A273" s="2">
        <v>272.0</v>
      </c>
      <c r="B273" s="2" t="s">
        <v>1379</v>
      </c>
      <c r="C273" s="2" t="s">
        <v>19</v>
      </c>
      <c r="D273" s="2" t="s">
        <v>47</v>
      </c>
      <c r="E273" s="2" t="s">
        <v>86</v>
      </c>
      <c r="F273" s="2">
        <v>3.0</v>
      </c>
      <c r="G273" s="2">
        <v>1.0</v>
      </c>
      <c r="H273" s="2">
        <v>1.0</v>
      </c>
      <c r="I273" s="5" t="s">
        <v>1380</v>
      </c>
      <c r="J273" s="5" t="str">
        <f>IFERROR(__xludf.DUMMYFUNCTION("""COMPUTED_VALUE"""),"https://drive.google.com/thumbnail?id=1tueF0EgQ9ZmjxsAeUa_w_XEbdRvNtXic&amp;sz=s1000")</f>
        <v>https://drive.google.com/thumbnail?id=1tueF0EgQ9ZmjxsAeUa_w_XEbdRvNtXic&amp;sz=s1000</v>
      </c>
      <c r="K273" s="6" t="s">
        <v>1381</v>
      </c>
      <c r="L273" s="6"/>
      <c r="M273" s="2" t="s">
        <v>139</v>
      </c>
      <c r="N273" s="2" t="s">
        <v>1382</v>
      </c>
      <c r="O273" s="7" t="s">
        <v>1383</v>
      </c>
    </row>
    <row r="274">
      <c r="A274" s="2">
        <v>273.0</v>
      </c>
      <c r="B274" s="2" t="s">
        <v>1384</v>
      </c>
      <c r="C274" s="2" t="s">
        <v>19</v>
      </c>
      <c r="D274" s="2" t="s">
        <v>47</v>
      </c>
      <c r="E274" s="2" t="s">
        <v>126</v>
      </c>
      <c r="F274" s="2">
        <v>3.0</v>
      </c>
      <c r="G274" s="2">
        <v>1.0</v>
      </c>
      <c r="H274" s="2">
        <v>4.0</v>
      </c>
      <c r="I274" s="5" t="s">
        <v>1385</v>
      </c>
      <c r="J274" s="5" t="str">
        <f>IFERROR(__xludf.DUMMYFUNCTION("""COMPUTED_VALUE"""),"https://drive.google.com/thumbnail?id=1C-YtPnLOptjqW6MRsyWEOKpC0Flti2Az&amp;sz=s1000")</f>
        <v>https://drive.google.com/thumbnail?id=1C-YtPnLOptjqW6MRsyWEOKpC0Flti2Az&amp;sz=s1000</v>
      </c>
      <c r="K274" s="6" t="s">
        <v>1386</v>
      </c>
      <c r="L274" s="6"/>
      <c r="M274" s="2" t="s">
        <v>143</v>
      </c>
      <c r="N274" s="2" t="s">
        <v>1387</v>
      </c>
      <c r="O274" s="7" t="s">
        <v>1388</v>
      </c>
    </row>
    <row r="275">
      <c r="A275" s="2">
        <v>274.0</v>
      </c>
      <c r="B275" s="2" t="s">
        <v>1389</v>
      </c>
      <c r="C275" s="2" t="s">
        <v>28</v>
      </c>
      <c r="D275" s="2" t="s">
        <v>43</v>
      </c>
      <c r="E275" s="2" t="s">
        <v>122</v>
      </c>
      <c r="F275" s="2">
        <v>4.0</v>
      </c>
      <c r="G275" s="2">
        <v>1.0</v>
      </c>
      <c r="H275" s="2">
        <v>1.0</v>
      </c>
      <c r="I275" s="5" t="s">
        <v>1390</v>
      </c>
      <c r="J275" s="5" t="str">
        <f>IFERROR(__xludf.DUMMYFUNCTION("""COMPUTED_VALUE"""),"https://drive.google.com/thumbnail?id=1Anj6kmZ1JQSrFNe6BfmXUSUrcmPuu5_C&amp;sz=s1000")</f>
        <v>https://drive.google.com/thumbnail?id=1Anj6kmZ1JQSrFNe6BfmXUSUrcmPuu5_C&amp;sz=s1000</v>
      </c>
      <c r="K275" s="6" t="s">
        <v>1391</v>
      </c>
      <c r="L275" s="6"/>
      <c r="M275" s="2" t="s">
        <v>139</v>
      </c>
      <c r="N275" s="2" t="s">
        <v>1392</v>
      </c>
      <c r="O275" s="7" t="s">
        <v>1393</v>
      </c>
    </row>
    <row r="276">
      <c r="A276" s="2">
        <v>275.0</v>
      </c>
      <c r="B276" s="2" t="s">
        <v>1394</v>
      </c>
      <c r="C276" s="2" t="s">
        <v>19</v>
      </c>
      <c r="D276" s="2" t="s">
        <v>47</v>
      </c>
      <c r="E276" s="2" t="s">
        <v>122</v>
      </c>
      <c r="F276" s="2">
        <v>3.0</v>
      </c>
      <c r="G276" s="2">
        <v>1.0</v>
      </c>
      <c r="H276" s="2">
        <v>3.0</v>
      </c>
      <c r="I276" s="5" t="s">
        <v>1395</v>
      </c>
      <c r="J276" s="5" t="str">
        <f>IFERROR(__xludf.DUMMYFUNCTION("""COMPUTED_VALUE"""),"https://drive.google.com/thumbnail?id=1ekx_QWKUzFqgm67MtVb06SNWFnlc9ysM&amp;sz=s1000")</f>
        <v>https://drive.google.com/thumbnail?id=1ekx_QWKUzFqgm67MtVb06SNWFnlc9ysM&amp;sz=s1000</v>
      </c>
      <c r="K276" s="6" t="s">
        <v>1396</v>
      </c>
      <c r="L276" s="6"/>
      <c r="M276" s="2" t="s">
        <v>143</v>
      </c>
      <c r="N276" s="2" t="s">
        <v>1397</v>
      </c>
      <c r="O276" s="7" t="s">
        <v>1398</v>
      </c>
    </row>
    <row r="277">
      <c r="A277" s="2">
        <v>276.0</v>
      </c>
      <c r="B277" s="2" t="s">
        <v>1399</v>
      </c>
      <c r="C277" s="2" t="s">
        <v>36</v>
      </c>
      <c r="D277" s="3"/>
      <c r="E277" s="2" t="s">
        <v>122</v>
      </c>
      <c r="F277" s="2">
        <v>3.0</v>
      </c>
      <c r="G277" s="2">
        <v>1.0</v>
      </c>
      <c r="H277" s="2">
        <v>1.0</v>
      </c>
      <c r="I277" s="5" t="s">
        <v>1400</v>
      </c>
      <c r="J277" s="5" t="str">
        <f>IFERROR(__xludf.DUMMYFUNCTION("""COMPUTED_VALUE"""),"https://drive.google.com/thumbnail?id=134und2nSdnhIT-c-VP2_hpBjK0J15SWZ&amp;sz=s1000")</f>
        <v>https://drive.google.com/thumbnail?id=134und2nSdnhIT-c-VP2_hpBjK0J15SWZ&amp;sz=s1000</v>
      </c>
      <c r="K277" s="6" t="s">
        <v>1401</v>
      </c>
      <c r="L277" s="6"/>
      <c r="M277" s="2" t="s">
        <v>143</v>
      </c>
      <c r="N277" s="2" t="s">
        <v>1402</v>
      </c>
      <c r="O277" s="7" t="s">
        <v>1403</v>
      </c>
    </row>
    <row r="278">
      <c r="A278" s="2">
        <v>277.0</v>
      </c>
      <c r="B278" s="2" t="s">
        <v>1404</v>
      </c>
      <c r="C278" s="2" t="s">
        <v>12</v>
      </c>
      <c r="D278" s="2" t="s">
        <v>39</v>
      </c>
      <c r="E278" s="3"/>
      <c r="F278" s="2">
        <v>3.0</v>
      </c>
      <c r="G278" s="2">
        <v>1.0</v>
      </c>
      <c r="H278" s="2">
        <v>1.0</v>
      </c>
      <c r="I278" s="5" t="s">
        <v>1405</v>
      </c>
      <c r="J278" s="5" t="str">
        <f>IFERROR(__xludf.DUMMYFUNCTION("""COMPUTED_VALUE"""),"https://drive.google.com/thumbnail?id=1f_mFly-jwV4HDOeXvM0w2i6KKvlIt8JT&amp;sz=s1000")</f>
        <v>https://drive.google.com/thumbnail?id=1f_mFly-jwV4HDOeXvM0w2i6KKvlIt8JT&amp;sz=s1000</v>
      </c>
      <c r="K278" s="6" t="s">
        <v>1406</v>
      </c>
      <c r="L278" s="6"/>
      <c r="M278" s="2" t="s">
        <v>139</v>
      </c>
      <c r="N278" s="2" t="s">
        <v>1407</v>
      </c>
      <c r="O278" s="7" t="s">
        <v>1408</v>
      </c>
    </row>
    <row r="279">
      <c r="A279" s="2">
        <v>278.0</v>
      </c>
      <c r="B279" s="2" t="s">
        <v>1409</v>
      </c>
      <c r="C279" s="2" t="s">
        <v>21</v>
      </c>
      <c r="D279" s="2" t="s">
        <v>39</v>
      </c>
      <c r="E279" s="2" t="s">
        <v>68</v>
      </c>
      <c r="F279" s="2">
        <v>3.0</v>
      </c>
      <c r="G279" s="2">
        <v>1.0</v>
      </c>
      <c r="H279" s="2">
        <v>11.0</v>
      </c>
      <c r="I279" s="5" t="s">
        <v>1410</v>
      </c>
      <c r="J279" s="5" t="str">
        <f>IFERROR(__xludf.DUMMYFUNCTION("""COMPUTED_VALUE"""),"https://drive.google.com/thumbnail?id=1hokb5l5GgnedHEx00km-Efi4_GzRvO5S&amp;sz=s1000")</f>
        <v>https://drive.google.com/thumbnail?id=1hokb5l5GgnedHEx00km-Efi4_GzRvO5S&amp;sz=s1000</v>
      </c>
      <c r="K279" s="6" t="s">
        <v>1411</v>
      </c>
      <c r="L279" s="6"/>
      <c r="M279" s="2" t="s">
        <v>139</v>
      </c>
      <c r="N279" s="2" t="s">
        <v>1412</v>
      </c>
      <c r="O279" s="7" t="s">
        <v>1413</v>
      </c>
    </row>
    <row r="280">
      <c r="A280" s="2">
        <v>279.0</v>
      </c>
      <c r="B280" s="2" t="s">
        <v>1414</v>
      </c>
      <c r="C280" s="2" t="s">
        <v>36</v>
      </c>
      <c r="D280" s="3"/>
      <c r="E280" s="3"/>
      <c r="F280" s="2">
        <v>3.0</v>
      </c>
      <c r="G280" s="2">
        <v>1.0</v>
      </c>
      <c r="H280" s="2">
        <v>1.0</v>
      </c>
      <c r="I280" s="5" t="s">
        <v>1415</v>
      </c>
      <c r="J280" s="5" t="str">
        <f>IFERROR(__xludf.DUMMYFUNCTION("""COMPUTED_VALUE"""),"https://drive.google.com/thumbnail?id=1KNt-eGL1UtYbaj6oKb1AZQqLP2Ms7q50&amp;sz=s1000")</f>
        <v>https://drive.google.com/thumbnail?id=1KNt-eGL1UtYbaj6oKb1AZQqLP2Ms7q50&amp;sz=s1000</v>
      </c>
      <c r="K280" s="6" t="s">
        <v>1416</v>
      </c>
      <c r="L280" s="6"/>
      <c r="M280" s="2" t="s">
        <v>139</v>
      </c>
      <c r="O280" s="7" t="s">
        <v>1417</v>
      </c>
    </row>
    <row r="281">
      <c r="A281" s="2">
        <v>280.0</v>
      </c>
      <c r="B281" s="2" t="s">
        <v>1418</v>
      </c>
      <c r="C281" s="2" t="s">
        <v>19</v>
      </c>
      <c r="D281" s="2" t="s">
        <v>47</v>
      </c>
      <c r="E281" s="2" t="s">
        <v>68</v>
      </c>
      <c r="F281" s="2">
        <v>3.0</v>
      </c>
      <c r="G281" s="2">
        <v>1.0</v>
      </c>
      <c r="H281" s="2">
        <v>10.0</v>
      </c>
      <c r="I281" s="5" t="s">
        <v>1419</v>
      </c>
      <c r="J281" s="5" t="str">
        <f>IFERROR(__xludf.DUMMYFUNCTION("""COMPUTED_VALUE"""),"https://drive.google.com/thumbnail?id=1Rxbld8RUXrHAECPZW36vntmD3y5xFE6Y&amp;sz=s1000")</f>
        <v>https://drive.google.com/thumbnail?id=1Rxbld8RUXrHAECPZW36vntmD3y5xFE6Y&amp;sz=s1000</v>
      </c>
      <c r="K281" s="6" t="s">
        <v>1420</v>
      </c>
      <c r="L281" s="6"/>
      <c r="M281" s="2" t="s">
        <v>139</v>
      </c>
      <c r="N281" s="2" t="s">
        <v>1421</v>
      </c>
      <c r="O281" s="7" t="s">
        <v>1422</v>
      </c>
    </row>
    <row r="282">
      <c r="A282" s="2">
        <v>281.0</v>
      </c>
      <c r="B282" s="2" t="s">
        <v>1423</v>
      </c>
      <c r="C282" s="2" t="s">
        <v>19</v>
      </c>
      <c r="D282" s="2" t="s">
        <v>47</v>
      </c>
      <c r="E282" s="2" t="s">
        <v>68</v>
      </c>
      <c r="F282" s="2">
        <v>3.0</v>
      </c>
      <c r="G282" s="2">
        <v>1.0</v>
      </c>
      <c r="H282" s="2">
        <v>8.0</v>
      </c>
      <c r="I282" s="5" t="s">
        <v>1424</v>
      </c>
      <c r="J282" s="5" t="str">
        <f>IFERROR(__xludf.DUMMYFUNCTION("""COMPUTED_VALUE"""),"https://drive.google.com/thumbnail?id=1e_HdMYrjC5l94McudV8a-C8zqHF4DeDS&amp;sz=s1000")</f>
        <v>https://drive.google.com/thumbnail?id=1e_HdMYrjC5l94McudV8a-C8zqHF4DeDS&amp;sz=s1000</v>
      </c>
      <c r="K282" s="6" t="s">
        <v>1425</v>
      </c>
      <c r="L282" s="6"/>
      <c r="M282" s="2" t="s">
        <v>139</v>
      </c>
      <c r="N282" s="2" t="s">
        <v>1426</v>
      </c>
      <c r="O282" s="7" t="s">
        <v>1427</v>
      </c>
    </row>
    <row r="283">
      <c r="A283" s="2">
        <v>282.0</v>
      </c>
      <c r="B283" s="2" t="s">
        <v>1428</v>
      </c>
      <c r="C283" s="2" t="s">
        <v>19</v>
      </c>
      <c r="D283" s="2" t="s">
        <v>47</v>
      </c>
      <c r="E283" s="2" t="s">
        <v>68</v>
      </c>
      <c r="F283" s="2">
        <v>3.0</v>
      </c>
      <c r="G283" s="2">
        <v>1.0</v>
      </c>
      <c r="H283" s="2">
        <v>10.0</v>
      </c>
      <c r="I283" s="5" t="s">
        <v>1429</v>
      </c>
      <c r="J283" s="5" t="str">
        <f>IFERROR(__xludf.DUMMYFUNCTION("""COMPUTED_VALUE"""),"https://drive.google.com/thumbnail?id=1AYha-E23t1syX_dBZO4prqORzHBEVP0L&amp;sz=s1000")</f>
        <v>https://drive.google.com/thumbnail?id=1AYha-E23t1syX_dBZO4prqORzHBEVP0L&amp;sz=s1000</v>
      </c>
      <c r="K283" s="6" t="s">
        <v>1430</v>
      </c>
      <c r="L283" s="6"/>
      <c r="M283" s="2" t="s">
        <v>139</v>
      </c>
      <c r="N283" s="2" t="s">
        <v>1431</v>
      </c>
      <c r="O283" s="7" t="s">
        <v>1432</v>
      </c>
    </row>
    <row r="284">
      <c r="A284" s="2">
        <v>283.0</v>
      </c>
      <c r="B284" s="2" t="s">
        <v>1433</v>
      </c>
      <c r="C284" s="2" t="s">
        <v>19</v>
      </c>
      <c r="D284" s="2" t="s">
        <v>47</v>
      </c>
      <c r="E284" s="2" t="s">
        <v>68</v>
      </c>
      <c r="F284" s="2">
        <v>3.0</v>
      </c>
      <c r="G284" s="2">
        <v>1.0</v>
      </c>
      <c r="H284" s="2">
        <v>2.0</v>
      </c>
      <c r="I284" s="5" t="s">
        <v>1434</v>
      </c>
      <c r="J284" s="5" t="str">
        <f>IFERROR(__xludf.DUMMYFUNCTION("""COMPUTED_VALUE"""),"https://drive.google.com/thumbnail?id=1vIXLOOyhLh-EcQ-kT59XWGSoxAWSFD5D&amp;sz=s1000")</f>
        <v>https://drive.google.com/thumbnail?id=1vIXLOOyhLh-EcQ-kT59XWGSoxAWSFD5D&amp;sz=s1000</v>
      </c>
      <c r="K284" s="6" t="s">
        <v>1435</v>
      </c>
      <c r="L284" s="6"/>
      <c r="M284" s="2" t="s">
        <v>139</v>
      </c>
      <c r="N284" s="2" t="s">
        <v>1436</v>
      </c>
      <c r="O284" s="7" t="s">
        <v>1437</v>
      </c>
    </row>
    <row r="285">
      <c r="A285" s="2">
        <v>284.0</v>
      </c>
      <c r="B285" s="2" t="s">
        <v>1438</v>
      </c>
      <c r="C285" s="2" t="s">
        <v>19</v>
      </c>
      <c r="D285" s="2" t="s">
        <v>47</v>
      </c>
      <c r="E285" s="2" t="s">
        <v>68</v>
      </c>
      <c r="F285" s="2">
        <v>3.0</v>
      </c>
      <c r="G285" s="2">
        <v>1.0</v>
      </c>
      <c r="H285" s="2">
        <v>2.0</v>
      </c>
      <c r="I285" s="5" t="s">
        <v>1439</v>
      </c>
      <c r="J285" s="5" t="str">
        <f>IFERROR(__xludf.DUMMYFUNCTION("""COMPUTED_VALUE"""),"https://drive.google.com/thumbnail?id=1HUJX9ePCvCuJEqJc6MNMmXL1IvrcqC-t&amp;sz=s1000")</f>
        <v>https://drive.google.com/thumbnail?id=1HUJX9ePCvCuJEqJc6MNMmXL1IvrcqC-t&amp;sz=s1000</v>
      </c>
      <c r="K285" s="6" t="s">
        <v>1440</v>
      </c>
      <c r="L285" s="6"/>
      <c r="M285" s="2" t="s">
        <v>139</v>
      </c>
      <c r="N285" s="2" t="s">
        <v>1441</v>
      </c>
      <c r="O285" s="7" t="s">
        <v>1442</v>
      </c>
    </row>
    <row r="286">
      <c r="A286" s="2">
        <v>285.0</v>
      </c>
      <c r="B286" s="2" t="s">
        <v>1443</v>
      </c>
      <c r="C286" s="2" t="s">
        <v>19</v>
      </c>
      <c r="D286" s="2" t="s">
        <v>47</v>
      </c>
      <c r="E286" s="2" t="s">
        <v>68</v>
      </c>
      <c r="F286" s="2">
        <v>3.0</v>
      </c>
      <c r="G286" s="2">
        <v>1.0</v>
      </c>
      <c r="H286" s="2">
        <v>2.0</v>
      </c>
      <c r="I286" s="5" t="s">
        <v>1444</v>
      </c>
      <c r="J286" s="5" t="str">
        <f>IFERROR(__xludf.DUMMYFUNCTION("""COMPUTED_VALUE"""),"https://drive.google.com/thumbnail?id=1rkb51qCIJeac7R9tWXQzCBjnrjSUA6ui&amp;sz=s1000")</f>
        <v>https://drive.google.com/thumbnail?id=1rkb51qCIJeac7R9tWXQzCBjnrjSUA6ui&amp;sz=s1000</v>
      </c>
      <c r="K286" s="6" t="s">
        <v>1445</v>
      </c>
      <c r="L286" s="6"/>
      <c r="M286" s="2" t="s">
        <v>139</v>
      </c>
      <c r="N286" s="2" t="s">
        <v>1446</v>
      </c>
      <c r="O286" s="7" t="s">
        <v>1447</v>
      </c>
    </row>
    <row r="287">
      <c r="A287" s="2">
        <v>286.0</v>
      </c>
      <c r="B287" s="2" t="s">
        <v>1448</v>
      </c>
      <c r="C287" s="2" t="s">
        <v>19</v>
      </c>
      <c r="D287" s="2" t="s">
        <v>39</v>
      </c>
      <c r="E287" s="2" t="s">
        <v>122</v>
      </c>
      <c r="F287" s="2">
        <v>4.0</v>
      </c>
      <c r="G287" s="2">
        <v>1.0</v>
      </c>
      <c r="H287" s="2">
        <v>5.0</v>
      </c>
      <c r="I287" s="5" t="s">
        <v>1449</v>
      </c>
      <c r="J287" s="5" t="str">
        <f>IFERROR(__xludf.DUMMYFUNCTION("""COMPUTED_VALUE"""),"https://drive.google.com/thumbnail?id=1tnkj2BsQCL6ek5kH_JqXUau-fwLKLGPl&amp;sz=s1000")</f>
        <v>https://drive.google.com/thumbnail?id=1tnkj2BsQCL6ek5kH_JqXUau-fwLKLGPl&amp;sz=s1000</v>
      </c>
      <c r="K287" s="6" t="s">
        <v>1450</v>
      </c>
      <c r="L287" s="6"/>
      <c r="M287" s="2" t="s">
        <v>139</v>
      </c>
      <c r="N287" s="2" t="s">
        <v>1451</v>
      </c>
      <c r="O287" s="7" t="s">
        <v>1452</v>
      </c>
    </row>
    <row r="288">
      <c r="A288" s="2">
        <v>287.0</v>
      </c>
      <c r="B288" s="2" t="s">
        <v>1453</v>
      </c>
      <c r="C288" s="2" t="s">
        <v>19</v>
      </c>
      <c r="D288" s="2" t="s">
        <v>39</v>
      </c>
      <c r="E288" s="2" t="s">
        <v>122</v>
      </c>
      <c r="F288" s="2">
        <v>4.0</v>
      </c>
      <c r="G288" s="2">
        <v>1.0</v>
      </c>
      <c r="H288" s="2">
        <v>4.0</v>
      </c>
      <c r="I288" s="5" t="s">
        <v>1454</v>
      </c>
      <c r="J288" s="5" t="str">
        <f>IFERROR(__xludf.DUMMYFUNCTION("""COMPUTED_VALUE"""),"https://drive.google.com/thumbnail?id=1DadJQxDPlVtpEP3QChyXqoIEhUrjGzbg&amp;sz=s1000")</f>
        <v>https://drive.google.com/thumbnail?id=1DadJQxDPlVtpEP3QChyXqoIEhUrjGzbg&amp;sz=s1000</v>
      </c>
      <c r="K288" s="6" t="s">
        <v>1455</v>
      </c>
      <c r="L288" s="6"/>
      <c r="M288" s="2" t="s">
        <v>139</v>
      </c>
      <c r="N288" s="2" t="s">
        <v>1456</v>
      </c>
      <c r="O288" s="7" t="s">
        <v>1457</v>
      </c>
    </row>
    <row r="289">
      <c r="A289" s="2">
        <v>288.0</v>
      </c>
      <c r="B289" s="2" t="s">
        <v>1458</v>
      </c>
      <c r="C289" s="2" t="s">
        <v>19</v>
      </c>
      <c r="D289" s="2" t="s">
        <v>47</v>
      </c>
      <c r="E289" s="2" t="s">
        <v>126</v>
      </c>
      <c r="F289" s="2">
        <v>3.0</v>
      </c>
      <c r="G289" s="2">
        <v>1.0</v>
      </c>
      <c r="H289" s="2">
        <v>2.0</v>
      </c>
      <c r="I289" s="5" t="s">
        <v>1459</v>
      </c>
      <c r="J289" s="10" t="str">
        <f>IFERROR(__xludf.DUMMYFUNCTION("""COMPUTED_VALUE"""),"https://drive.google.com/thumbnail?id=1FJP21-mEeSmItAT-l9S33zV21qHy6Vra&amp;sz=s1000")</f>
        <v>https://drive.google.com/thumbnail?id=1FJP21-mEeSmItAT-l9S33zV21qHy6Vra&amp;sz=s1000</v>
      </c>
      <c r="M289" s="8" t="s">
        <v>139</v>
      </c>
      <c r="N289" s="2" t="s">
        <v>1460</v>
      </c>
      <c r="O289" s="7" t="s">
        <v>1461</v>
      </c>
    </row>
    <row r="290">
      <c r="A290" s="11">
        <v>289.0</v>
      </c>
      <c r="B290" s="2" t="s">
        <v>1462</v>
      </c>
      <c r="C290" s="2" t="s">
        <v>1463</v>
      </c>
      <c r="D290" s="2" t="s">
        <v>47</v>
      </c>
      <c r="E290" s="11" t="s">
        <v>71</v>
      </c>
      <c r="F290" s="11">
        <v>3.0</v>
      </c>
      <c r="G290" s="2">
        <v>1.0</v>
      </c>
      <c r="H290" s="2">
        <v>2.0</v>
      </c>
      <c r="J290" s="3" t="str">
        <f>IFERROR(__xludf.DUMMYFUNCTION("""COMPUTED_VALUE"""),"")</f>
        <v/>
      </c>
      <c r="M290" s="3"/>
      <c r="O290" s="7" t="s">
        <v>1464</v>
      </c>
    </row>
    <row r="291">
      <c r="C291" s="3"/>
      <c r="D291" s="3"/>
      <c r="E291" s="3"/>
      <c r="F291" s="3"/>
      <c r="J291" s="3" t="str">
        <f>IFERROR(__xludf.DUMMYFUNCTION("""COMPUTED_VALUE"""),"")</f>
        <v/>
      </c>
      <c r="M291" s="3"/>
    </row>
    <row r="292">
      <c r="C292" s="3"/>
      <c r="D292" s="3"/>
      <c r="E292" s="3"/>
      <c r="F292" s="3"/>
      <c r="J292" s="3" t="str">
        <f>IFERROR(__xludf.DUMMYFUNCTION("""COMPUTED_VALUE"""),"")</f>
        <v/>
      </c>
      <c r="M292" s="3"/>
    </row>
    <row r="293">
      <c r="C293" s="3"/>
      <c r="D293" s="3"/>
      <c r="E293" s="3"/>
      <c r="F293" s="3"/>
      <c r="J293" s="3" t="str">
        <f>IFERROR(__xludf.DUMMYFUNCTION("""COMPUTED_VALUE"""),"")</f>
        <v/>
      </c>
      <c r="M293" s="3"/>
    </row>
    <row r="294">
      <c r="C294" s="3"/>
      <c r="D294" s="3"/>
      <c r="E294" s="3"/>
      <c r="F294" s="3"/>
      <c r="J294" s="3" t="str">
        <f>IFERROR(__xludf.DUMMYFUNCTION("""COMPUTED_VALUE"""),"")</f>
        <v/>
      </c>
      <c r="M294" s="3"/>
    </row>
    <row r="295">
      <c r="C295" s="3"/>
      <c r="D295" s="3"/>
      <c r="E295" s="3"/>
      <c r="F295" s="3"/>
      <c r="J295" s="3" t="str">
        <f>IFERROR(__xludf.DUMMYFUNCTION("""COMPUTED_VALUE"""),"")</f>
        <v/>
      </c>
      <c r="M295" s="3"/>
    </row>
    <row r="296">
      <c r="C296" s="3"/>
      <c r="D296" s="3"/>
      <c r="E296" s="3"/>
      <c r="F296" s="3"/>
      <c r="J296" s="3" t="str">
        <f>IFERROR(__xludf.DUMMYFUNCTION("""COMPUTED_VALUE"""),"")</f>
        <v/>
      </c>
      <c r="M296" s="3"/>
    </row>
    <row r="297">
      <c r="C297" s="3"/>
      <c r="D297" s="3"/>
      <c r="E297" s="3"/>
      <c r="F297" s="3"/>
      <c r="J297" s="3" t="str">
        <f>IFERROR(__xludf.DUMMYFUNCTION("""COMPUTED_VALUE"""),"")</f>
        <v/>
      </c>
      <c r="M297" s="3"/>
    </row>
    <row r="298">
      <c r="C298" s="3"/>
      <c r="D298" s="3"/>
      <c r="E298" s="3"/>
      <c r="F298" s="3"/>
      <c r="J298" s="3" t="str">
        <f>IFERROR(__xludf.DUMMYFUNCTION("""COMPUTED_VALUE"""),"")</f>
        <v/>
      </c>
      <c r="M298" s="3"/>
    </row>
    <row r="299">
      <c r="C299" s="3"/>
      <c r="D299" s="3"/>
      <c r="E299" s="3"/>
      <c r="F299" s="3"/>
      <c r="J299" s="3" t="str">
        <f>IFERROR(__xludf.DUMMYFUNCTION("""COMPUTED_VALUE"""),"")</f>
        <v/>
      </c>
      <c r="M299" s="3"/>
    </row>
    <row r="300">
      <c r="C300" s="3"/>
      <c r="D300" s="3"/>
      <c r="E300" s="3"/>
      <c r="F300" s="3"/>
      <c r="J300" s="3" t="str">
        <f>IFERROR(__xludf.DUMMYFUNCTION("""COMPUTED_VALUE"""),"")</f>
        <v/>
      </c>
      <c r="M300" s="3"/>
    </row>
    <row r="301">
      <c r="C301" s="3"/>
      <c r="D301" s="3"/>
      <c r="E301" s="3"/>
      <c r="F301" s="3"/>
      <c r="J301" s="3" t="str">
        <f>IFERROR(__xludf.DUMMYFUNCTION("""COMPUTED_VALUE"""),"")</f>
        <v/>
      </c>
      <c r="M301" s="3"/>
    </row>
    <row r="302">
      <c r="C302" s="3"/>
      <c r="D302" s="3"/>
      <c r="E302" s="3"/>
      <c r="F302" s="3"/>
      <c r="J302" s="3" t="str">
        <f>IFERROR(__xludf.DUMMYFUNCTION("""COMPUTED_VALUE"""),"")</f>
        <v/>
      </c>
      <c r="M302" s="3"/>
    </row>
    <row r="303">
      <c r="C303" s="3"/>
      <c r="D303" s="3"/>
      <c r="E303" s="3"/>
      <c r="F303" s="3"/>
      <c r="J303" s="3" t="str">
        <f>IFERROR(__xludf.DUMMYFUNCTION("""COMPUTED_VALUE"""),"")</f>
        <v/>
      </c>
      <c r="M303" s="3"/>
    </row>
    <row r="304">
      <c r="C304" s="3"/>
      <c r="D304" s="3"/>
      <c r="E304" s="3"/>
      <c r="F304" s="3"/>
      <c r="J304" s="3" t="str">
        <f>IFERROR(__xludf.DUMMYFUNCTION("""COMPUTED_VALUE"""),"")</f>
        <v/>
      </c>
      <c r="M304" s="3"/>
    </row>
    <row r="305">
      <c r="C305" s="3"/>
      <c r="D305" s="3"/>
      <c r="E305" s="3"/>
      <c r="F305" s="3"/>
      <c r="J305" s="3" t="str">
        <f>IFERROR(__xludf.DUMMYFUNCTION("""COMPUTED_VALUE"""),"")</f>
        <v/>
      </c>
      <c r="M305" s="3"/>
    </row>
    <row r="306">
      <c r="C306" s="3"/>
      <c r="D306" s="3"/>
      <c r="E306" s="3"/>
      <c r="F306" s="3"/>
      <c r="J306" s="3" t="str">
        <f>IFERROR(__xludf.DUMMYFUNCTION("""COMPUTED_VALUE"""),"")</f>
        <v/>
      </c>
      <c r="M306" s="3"/>
    </row>
    <row r="307">
      <c r="C307" s="3"/>
      <c r="D307" s="3"/>
      <c r="E307" s="3"/>
      <c r="F307" s="3"/>
      <c r="J307" s="3" t="str">
        <f>IFERROR(__xludf.DUMMYFUNCTION("""COMPUTED_VALUE"""),"")</f>
        <v/>
      </c>
      <c r="M307" s="3"/>
    </row>
    <row r="308">
      <c r="C308" s="3"/>
      <c r="D308" s="3"/>
      <c r="E308" s="3"/>
      <c r="F308" s="3"/>
      <c r="J308" s="3" t="str">
        <f>IFERROR(__xludf.DUMMYFUNCTION("""COMPUTED_VALUE"""),"")</f>
        <v/>
      </c>
      <c r="M308" s="3"/>
    </row>
    <row r="309">
      <c r="C309" s="3"/>
      <c r="D309" s="3"/>
      <c r="E309" s="3"/>
      <c r="F309" s="3"/>
      <c r="J309" s="3" t="str">
        <f>IFERROR(__xludf.DUMMYFUNCTION("""COMPUTED_VALUE"""),"")</f>
        <v/>
      </c>
      <c r="M309" s="3"/>
    </row>
    <row r="310">
      <c r="C310" s="3"/>
      <c r="D310" s="3"/>
      <c r="E310" s="3"/>
      <c r="F310" s="3"/>
      <c r="J310" s="3" t="str">
        <f>IFERROR(__xludf.DUMMYFUNCTION("""COMPUTED_VALUE"""),"")</f>
        <v/>
      </c>
      <c r="M310" s="3"/>
    </row>
    <row r="311">
      <c r="C311" s="3"/>
      <c r="D311" s="3"/>
      <c r="E311" s="3"/>
      <c r="F311" s="3"/>
      <c r="J311" s="3" t="str">
        <f>IFERROR(__xludf.DUMMYFUNCTION("""COMPUTED_VALUE"""),"")</f>
        <v/>
      </c>
      <c r="M311" s="3"/>
    </row>
    <row r="312">
      <c r="C312" s="3"/>
      <c r="D312" s="3"/>
      <c r="E312" s="3"/>
      <c r="F312" s="3"/>
      <c r="J312" s="3" t="str">
        <f>IFERROR(__xludf.DUMMYFUNCTION("""COMPUTED_VALUE"""),"")</f>
        <v/>
      </c>
      <c r="M312" s="3"/>
    </row>
    <row r="313">
      <c r="C313" s="3"/>
      <c r="D313" s="3"/>
      <c r="E313" s="3"/>
      <c r="F313" s="3"/>
      <c r="J313" s="3" t="str">
        <f>IFERROR(__xludf.DUMMYFUNCTION("""COMPUTED_VALUE"""),"")</f>
        <v/>
      </c>
      <c r="M313" s="3"/>
    </row>
    <row r="314">
      <c r="C314" s="3"/>
      <c r="D314" s="3"/>
      <c r="E314" s="3"/>
      <c r="F314" s="3"/>
      <c r="J314" s="3" t="str">
        <f>IFERROR(__xludf.DUMMYFUNCTION("""COMPUTED_VALUE"""),"")</f>
        <v/>
      </c>
      <c r="M314" s="3"/>
    </row>
    <row r="315">
      <c r="C315" s="3"/>
      <c r="D315" s="3"/>
      <c r="E315" s="3"/>
      <c r="F315" s="3"/>
      <c r="J315" s="3" t="str">
        <f>IFERROR(__xludf.DUMMYFUNCTION("""COMPUTED_VALUE"""),"")</f>
        <v/>
      </c>
      <c r="M315" s="3"/>
    </row>
    <row r="316">
      <c r="C316" s="3"/>
      <c r="D316" s="3"/>
      <c r="E316" s="3"/>
      <c r="F316" s="3"/>
      <c r="J316" s="3" t="str">
        <f>IFERROR(__xludf.DUMMYFUNCTION("""COMPUTED_VALUE"""),"")</f>
        <v/>
      </c>
      <c r="M316" s="3"/>
    </row>
    <row r="317">
      <c r="C317" s="3"/>
      <c r="D317" s="3"/>
      <c r="E317" s="3"/>
      <c r="F317" s="3"/>
      <c r="J317" s="3" t="str">
        <f>IFERROR(__xludf.DUMMYFUNCTION("""COMPUTED_VALUE"""),"")</f>
        <v/>
      </c>
      <c r="M317" s="3"/>
    </row>
    <row r="318">
      <c r="C318" s="3"/>
      <c r="D318" s="3"/>
      <c r="E318" s="3"/>
      <c r="F318" s="3"/>
      <c r="J318" s="3" t="str">
        <f>IFERROR(__xludf.DUMMYFUNCTION("""COMPUTED_VALUE"""),"")</f>
        <v/>
      </c>
      <c r="M318" s="3"/>
    </row>
    <row r="319">
      <c r="C319" s="3"/>
      <c r="D319" s="3"/>
      <c r="E319" s="3"/>
      <c r="F319" s="3"/>
      <c r="J319" s="3" t="str">
        <f>IFERROR(__xludf.DUMMYFUNCTION("""COMPUTED_VALUE"""),"")</f>
        <v/>
      </c>
      <c r="M319" s="3"/>
    </row>
    <row r="320">
      <c r="C320" s="3"/>
      <c r="D320" s="3"/>
      <c r="E320" s="3"/>
      <c r="F320" s="3"/>
      <c r="J320" s="3" t="str">
        <f>IFERROR(__xludf.DUMMYFUNCTION("""COMPUTED_VALUE"""),"")</f>
        <v/>
      </c>
      <c r="M320" s="3"/>
    </row>
    <row r="321">
      <c r="C321" s="3"/>
      <c r="D321" s="3"/>
      <c r="E321" s="3"/>
      <c r="F321" s="3"/>
      <c r="J321" s="3" t="str">
        <f>IFERROR(__xludf.DUMMYFUNCTION("""COMPUTED_VALUE"""),"")</f>
        <v/>
      </c>
      <c r="M321" s="3"/>
    </row>
    <row r="322">
      <c r="C322" s="3"/>
      <c r="D322" s="3"/>
      <c r="E322" s="3"/>
      <c r="F322" s="3"/>
      <c r="J322" s="3" t="str">
        <f>IFERROR(__xludf.DUMMYFUNCTION("""COMPUTED_VALUE"""),"")</f>
        <v/>
      </c>
      <c r="M322" s="3"/>
    </row>
    <row r="323">
      <c r="C323" s="3"/>
      <c r="D323" s="3"/>
      <c r="E323" s="3"/>
      <c r="F323" s="3"/>
      <c r="J323" s="3" t="str">
        <f>IFERROR(__xludf.DUMMYFUNCTION("""COMPUTED_VALUE"""),"")</f>
        <v/>
      </c>
      <c r="M323" s="3"/>
    </row>
    <row r="324">
      <c r="C324" s="3"/>
      <c r="D324" s="3"/>
      <c r="E324" s="3"/>
      <c r="F324" s="3"/>
      <c r="J324" s="3" t="str">
        <f>IFERROR(__xludf.DUMMYFUNCTION("""COMPUTED_VALUE"""),"")</f>
        <v/>
      </c>
      <c r="M324" s="3"/>
    </row>
    <row r="325">
      <c r="C325" s="3"/>
      <c r="D325" s="3"/>
      <c r="E325" s="3"/>
      <c r="F325" s="3"/>
      <c r="J325" s="3" t="str">
        <f>IFERROR(__xludf.DUMMYFUNCTION("""COMPUTED_VALUE"""),"")</f>
        <v/>
      </c>
      <c r="M325" s="3"/>
    </row>
    <row r="326">
      <c r="C326" s="3"/>
      <c r="D326" s="3"/>
      <c r="E326" s="3"/>
      <c r="F326" s="3"/>
      <c r="J326" s="3" t="str">
        <f>IFERROR(__xludf.DUMMYFUNCTION("""COMPUTED_VALUE"""),"")</f>
        <v/>
      </c>
      <c r="M326" s="3"/>
    </row>
    <row r="327">
      <c r="C327" s="3"/>
      <c r="D327" s="3"/>
      <c r="E327" s="3"/>
      <c r="F327" s="3"/>
      <c r="J327" s="3" t="str">
        <f>IFERROR(__xludf.DUMMYFUNCTION("""COMPUTED_VALUE"""),"")</f>
        <v/>
      </c>
      <c r="M327" s="3"/>
    </row>
    <row r="328">
      <c r="C328" s="3"/>
      <c r="D328" s="3"/>
      <c r="E328" s="3"/>
      <c r="F328" s="3"/>
      <c r="J328" s="3" t="str">
        <f>IFERROR(__xludf.DUMMYFUNCTION("""COMPUTED_VALUE"""),"")</f>
        <v/>
      </c>
      <c r="M328" s="3"/>
    </row>
    <row r="329">
      <c r="C329" s="3"/>
      <c r="D329" s="3"/>
      <c r="E329" s="3"/>
      <c r="F329" s="3"/>
      <c r="J329" s="3" t="str">
        <f>IFERROR(__xludf.DUMMYFUNCTION("""COMPUTED_VALUE"""),"")</f>
        <v/>
      </c>
      <c r="M329" s="3"/>
    </row>
    <row r="330">
      <c r="C330" s="3"/>
      <c r="D330" s="3"/>
      <c r="E330" s="3"/>
      <c r="F330" s="3"/>
      <c r="J330" s="3" t="str">
        <f>IFERROR(__xludf.DUMMYFUNCTION("""COMPUTED_VALUE"""),"")</f>
        <v/>
      </c>
      <c r="M330" s="3"/>
    </row>
    <row r="331">
      <c r="C331" s="3"/>
      <c r="D331" s="3"/>
      <c r="E331" s="3"/>
      <c r="F331" s="3"/>
      <c r="J331" s="3" t="str">
        <f>IFERROR(__xludf.DUMMYFUNCTION("""COMPUTED_VALUE"""),"")</f>
        <v/>
      </c>
      <c r="M331" s="3"/>
    </row>
    <row r="332">
      <c r="C332" s="3"/>
      <c r="D332" s="3"/>
      <c r="E332" s="3"/>
      <c r="F332" s="3"/>
      <c r="J332" s="3" t="str">
        <f>IFERROR(__xludf.DUMMYFUNCTION("""COMPUTED_VALUE"""),"")</f>
        <v/>
      </c>
      <c r="M332" s="3"/>
    </row>
    <row r="333">
      <c r="C333" s="3"/>
      <c r="D333" s="3"/>
      <c r="E333" s="3"/>
      <c r="F333" s="3"/>
      <c r="J333" s="3" t="str">
        <f>IFERROR(__xludf.DUMMYFUNCTION("""COMPUTED_VALUE"""),"")</f>
        <v/>
      </c>
      <c r="M333" s="3"/>
    </row>
    <row r="334">
      <c r="C334" s="3"/>
      <c r="D334" s="3"/>
      <c r="E334" s="3"/>
      <c r="F334" s="3"/>
      <c r="J334" s="3" t="str">
        <f>IFERROR(__xludf.DUMMYFUNCTION("""COMPUTED_VALUE"""),"")</f>
        <v/>
      </c>
      <c r="M334" s="3"/>
    </row>
    <row r="335">
      <c r="C335" s="3"/>
      <c r="D335" s="3"/>
      <c r="E335" s="3"/>
      <c r="F335" s="3"/>
      <c r="J335" s="3" t="str">
        <f>IFERROR(__xludf.DUMMYFUNCTION("""COMPUTED_VALUE"""),"")</f>
        <v/>
      </c>
      <c r="M335" s="3"/>
    </row>
    <row r="336">
      <c r="C336" s="3"/>
      <c r="D336" s="3"/>
      <c r="E336" s="3"/>
      <c r="F336" s="3"/>
      <c r="J336" s="3" t="str">
        <f>IFERROR(__xludf.DUMMYFUNCTION("""COMPUTED_VALUE"""),"")</f>
        <v/>
      </c>
      <c r="M336" s="3"/>
    </row>
    <row r="337">
      <c r="C337" s="3"/>
      <c r="D337" s="3"/>
      <c r="E337" s="3"/>
      <c r="F337" s="3"/>
      <c r="J337" s="3" t="str">
        <f>IFERROR(__xludf.DUMMYFUNCTION("""COMPUTED_VALUE"""),"")</f>
        <v/>
      </c>
      <c r="M337" s="3"/>
    </row>
    <row r="338">
      <c r="C338" s="3"/>
      <c r="D338" s="3"/>
      <c r="E338" s="3"/>
      <c r="F338" s="3"/>
      <c r="J338" s="3" t="str">
        <f>IFERROR(__xludf.DUMMYFUNCTION("""COMPUTED_VALUE"""),"")</f>
        <v/>
      </c>
      <c r="M338" s="3"/>
    </row>
    <row r="339">
      <c r="C339" s="3"/>
      <c r="D339" s="3"/>
      <c r="E339" s="3"/>
      <c r="F339" s="3"/>
      <c r="J339" s="3" t="str">
        <f>IFERROR(__xludf.DUMMYFUNCTION("""COMPUTED_VALUE"""),"")</f>
        <v/>
      </c>
      <c r="M339" s="3"/>
    </row>
    <row r="340">
      <c r="C340" s="3"/>
      <c r="D340" s="3"/>
      <c r="E340" s="3"/>
      <c r="F340" s="3"/>
      <c r="J340" s="3" t="str">
        <f>IFERROR(__xludf.DUMMYFUNCTION("""COMPUTED_VALUE"""),"")</f>
        <v/>
      </c>
      <c r="M340" s="3"/>
    </row>
    <row r="341">
      <c r="C341" s="3"/>
      <c r="D341" s="3"/>
      <c r="E341" s="3"/>
      <c r="F341" s="3"/>
      <c r="J341" s="3" t="str">
        <f>IFERROR(__xludf.DUMMYFUNCTION("""COMPUTED_VALUE"""),"")</f>
        <v/>
      </c>
      <c r="M341" s="3"/>
    </row>
    <row r="342">
      <c r="C342" s="3"/>
      <c r="D342" s="3"/>
      <c r="E342" s="3"/>
      <c r="F342" s="3"/>
      <c r="J342" s="3" t="str">
        <f>IFERROR(__xludf.DUMMYFUNCTION("""COMPUTED_VALUE"""),"")</f>
        <v/>
      </c>
      <c r="M342" s="3"/>
    </row>
    <row r="343">
      <c r="C343" s="3"/>
      <c r="D343" s="3"/>
      <c r="E343" s="3"/>
      <c r="F343" s="3"/>
      <c r="J343" s="3" t="str">
        <f>IFERROR(__xludf.DUMMYFUNCTION("""COMPUTED_VALUE"""),"")</f>
        <v/>
      </c>
      <c r="M343" s="3"/>
    </row>
    <row r="344">
      <c r="C344" s="3"/>
      <c r="D344" s="3"/>
      <c r="E344" s="3"/>
      <c r="F344" s="3"/>
      <c r="J344" s="3" t="str">
        <f>IFERROR(__xludf.DUMMYFUNCTION("""COMPUTED_VALUE"""),"")</f>
        <v/>
      </c>
      <c r="M344" s="3"/>
    </row>
    <row r="345">
      <c r="C345" s="3"/>
      <c r="D345" s="3"/>
      <c r="E345" s="3"/>
      <c r="F345" s="3"/>
      <c r="J345" s="3" t="str">
        <f>IFERROR(__xludf.DUMMYFUNCTION("""COMPUTED_VALUE"""),"")</f>
        <v/>
      </c>
      <c r="M345" s="3"/>
    </row>
    <row r="346">
      <c r="C346" s="3"/>
      <c r="D346" s="3"/>
      <c r="E346" s="3"/>
      <c r="F346" s="3"/>
      <c r="J346" s="3" t="str">
        <f>IFERROR(__xludf.DUMMYFUNCTION("""COMPUTED_VALUE"""),"")</f>
        <v/>
      </c>
      <c r="M346" s="3"/>
    </row>
    <row r="347">
      <c r="C347" s="3"/>
      <c r="D347" s="3"/>
      <c r="E347" s="3"/>
      <c r="F347" s="3"/>
      <c r="J347" s="3" t="str">
        <f>IFERROR(__xludf.DUMMYFUNCTION("""COMPUTED_VALUE"""),"")</f>
        <v/>
      </c>
      <c r="M347" s="3"/>
    </row>
    <row r="348">
      <c r="C348" s="3"/>
      <c r="D348" s="3"/>
      <c r="E348" s="3"/>
      <c r="F348" s="3"/>
      <c r="J348" s="3" t="str">
        <f>IFERROR(__xludf.DUMMYFUNCTION("""COMPUTED_VALUE"""),"")</f>
        <v/>
      </c>
      <c r="M348" s="3"/>
    </row>
    <row r="349">
      <c r="C349" s="3"/>
      <c r="D349" s="3"/>
      <c r="E349" s="3"/>
      <c r="F349" s="3"/>
      <c r="J349" s="3" t="str">
        <f>IFERROR(__xludf.DUMMYFUNCTION("""COMPUTED_VALUE"""),"")</f>
        <v/>
      </c>
      <c r="M349" s="3"/>
    </row>
    <row r="350">
      <c r="C350" s="3"/>
      <c r="D350" s="3"/>
      <c r="E350" s="3"/>
      <c r="F350" s="3"/>
      <c r="J350" s="3" t="str">
        <f>IFERROR(__xludf.DUMMYFUNCTION("""COMPUTED_VALUE"""),"")</f>
        <v/>
      </c>
      <c r="M350" s="3"/>
    </row>
    <row r="351">
      <c r="C351" s="3"/>
      <c r="D351" s="3"/>
      <c r="E351" s="3"/>
      <c r="F351" s="3"/>
      <c r="J351" s="3" t="str">
        <f>IFERROR(__xludf.DUMMYFUNCTION("""COMPUTED_VALUE"""),"")</f>
        <v/>
      </c>
      <c r="M351" s="3"/>
    </row>
    <row r="352">
      <c r="C352" s="3"/>
      <c r="D352" s="3"/>
      <c r="E352" s="3"/>
      <c r="F352" s="3"/>
      <c r="J352" s="3" t="str">
        <f>IFERROR(__xludf.DUMMYFUNCTION("""COMPUTED_VALUE"""),"")</f>
        <v/>
      </c>
      <c r="M352" s="3"/>
    </row>
    <row r="353">
      <c r="C353" s="3"/>
      <c r="D353" s="3"/>
      <c r="E353" s="3"/>
      <c r="F353" s="3"/>
      <c r="J353" s="3" t="str">
        <f>IFERROR(__xludf.DUMMYFUNCTION("""COMPUTED_VALUE"""),"")</f>
        <v/>
      </c>
      <c r="M353" s="3"/>
    </row>
    <row r="354">
      <c r="C354" s="3"/>
      <c r="D354" s="3"/>
      <c r="E354" s="3"/>
      <c r="F354" s="3"/>
      <c r="J354" s="3" t="str">
        <f>IFERROR(__xludf.DUMMYFUNCTION("""COMPUTED_VALUE"""),"")</f>
        <v/>
      </c>
      <c r="M354" s="3"/>
    </row>
    <row r="355">
      <c r="C355" s="3"/>
      <c r="D355" s="3"/>
      <c r="E355" s="3"/>
      <c r="F355" s="3"/>
      <c r="J355" s="3" t="str">
        <f>IFERROR(__xludf.DUMMYFUNCTION("""COMPUTED_VALUE"""),"")</f>
        <v/>
      </c>
      <c r="M355" s="3"/>
    </row>
    <row r="356">
      <c r="C356" s="3"/>
      <c r="D356" s="3"/>
      <c r="E356" s="3"/>
      <c r="F356" s="3"/>
      <c r="J356" s="3" t="str">
        <f>IFERROR(__xludf.DUMMYFUNCTION("""COMPUTED_VALUE"""),"")</f>
        <v/>
      </c>
      <c r="M356" s="3"/>
    </row>
    <row r="357">
      <c r="C357" s="3"/>
      <c r="D357" s="3"/>
      <c r="E357" s="3"/>
      <c r="F357" s="3"/>
      <c r="J357" s="3" t="str">
        <f>IFERROR(__xludf.DUMMYFUNCTION("""COMPUTED_VALUE"""),"")</f>
        <v/>
      </c>
      <c r="M357" s="3"/>
    </row>
    <row r="358">
      <c r="C358" s="3"/>
      <c r="D358" s="3"/>
      <c r="E358" s="3"/>
      <c r="F358" s="3"/>
      <c r="J358" s="3" t="str">
        <f>IFERROR(__xludf.DUMMYFUNCTION("""COMPUTED_VALUE"""),"")</f>
        <v/>
      </c>
      <c r="M358" s="3"/>
    </row>
    <row r="359">
      <c r="C359" s="3"/>
      <c r="D359" s="3"/>
      <c r="E359" s="3"/>
      <c r="F359" s="3"/>
      <c r="J359" s="3" t="str">
        <f>IFERROR(__xludf.DUMMYFUNCTION("""COMPUTED_VALUE"""),"")</f>
        <v/>
      </c>
      <c r="M359" s="3"/>
    </row>
    <row r="360">
      <c r="C360" s="3"/>
      <c r="D360" s="3"/>
      <c r="E360" s="3"/>
      <c r="F360" s="3"/>
      <c r="J360" s="3" t="str">
        <f>IFERROR(__xludf.DUMMYFUNCTION("""COMPUTED_VALUE"""),"")</f>
        <v/>
      </c>
      <c r="M360" s="3"/>
    </row>
    <row r="361">
      <c r="C361" s="3"/>
      <c r="D361" s="3"/>
      <c r="E361" s="3"/>
      <c r="F361" s="3"/>
      <c r="J361" s="3" t="str">
        <f>IFERROR(__xludf.DUMMYFUNCTION("""COMPUTED_VALUE"""),"")</f>
        <v/>
      </c>
      <c r="M361" s="3"/>
    </row>
    <row r="362">
      <c r="C362" s="3"/>
      <c r="D362" s="3"/>
      <c r="E362" s="3"/>
      <c r="F362" s="3"/>
      <c r="J362" s="3" t="str">
        <f>IFERROR(__xludf.DUMMYFUNCTION("""COMPUTED_VALUE"""),"")</f>
        <v/>
      </c>
      <c r="M362" s="3"/>
    </row>
    <row r="363">
      <c r="C363" s="3"/>
      <c r="D363" s="3"/>
      <c r="E363" s="3"/>
      <c r="F363" s="3"/>
      <c r="J363" s="3" t="str">
        <f>IFERROR(__xludf.DUMMYFUNCTION("""COMPUTED_VALUE"""),"")</f>
        <v/>
      </c>
      <c r="M363" s="3"/>
    </row>
    <row r="364">
      <c r="C364" s="3"/>
      <c r="D364" s="3"/>
      <c r="E364" s="3"/>
      <c r="F364" s="3"/>
      <c r="J364" s="3" t="str">
        <f>IFERROR(__xludf.DUMMYFUNCTION("""COMPUTED_VALUE"""),"")</f>
        <v/>
      </c>
      <c r="M364" s="3"/>
    </row>
    <row r="365">
      <c r="C365" s="3"/>
      <c r="D365" s="3"/>
      <c r="E365" s="3"/>
      <c r="F365" s="3"/>
      <c r="J365" s="3" t="str">
        <f>IFERROR(__xludf.DUMMYFUNCTION("""COMPUTED_VALUE"""),"")</f>
        <v/>
      </c>
      <c r="M365" s="3"/>
    </row>
    <row r="366">
      <c r="C366" s="3"/>
      <c r="D366" s="3"/>
      <c r="E366" s="3"/>
      <c r="F366" s="3"/>
      <c r="J366" s="3" t="str">
        <f>IFERROR(__xludf.DUMMYFUNCTION("""COMPUTED_VALUE"""),"")</f>
        <v/>
      </c>
      <c r="M366" s="3"/>
    </row>
    <row r="367">
      <c r="C367" s="3"/>
      <c r="D367" s="3"/>
      <c r="E367" s="3"/>
      <c r="F367" s="3"/>
      <c r="J367" s="3" t="str">
        <f>IFERROR(__xludf.DUMMYFUNCTION("""COMPUTED_VALUE"""),"")</f>
        <v/>
      </c>
      <c r="M367" s="3"/>
    </row>
    <row r="368">
      <c r="C368" s="3"/>
      <c r="D368" s="3"/>
      <c r="E368" s="3"/>
      <c r="F368" s="3"/>
      <c r="J368" s="3" t="str">
        <f>IFERROR(__xludf.DUMMYFUNCTION("""COMPUTED_VALUE"""),"")</f>
        <v/>
      </c>
      <c r="M368" s="3"/>
    </row>
    <row r="369">
      <c r="C369" s="3"/>
      <c r="D369" s="3"/>
      <c r="E369" s="3"/>
      <c r="F369" s="3"/>
      <c r="J369" s="3" t="str">
        <f>IFERROR(__xludf.DUMMYFUNCTION("""COMPUTED_VALUE"""),"")</f>
        <v/>
      </c>
      <c r="M369" s="3"/>
    </row>
    <row r="370">
      <c r="C370" s="3"/>
      <c r="D370" s="3"/>
      <c r="E370" s="3"/>
      <c r="F370" s="3"/>
      <c r="J370" s="3" t="str">
        <f>IFERROR(__xludf.DUMMYFUNCTION("""COMPUTED_VALUE"""),"")</f>
        <v/>
      </c>
      <c r="M370" s="3"/>
    </row>
    <row r="371">
      <c r="C371" s="3"/>
      <c r="D371" s="3"/>
      <c r="E371" s="3"/>
      <c r="F371" s="3"/>
      <c r="J371" s="3" t="str">
        <f>IFERROR(__xludf.DUMMYFUNCTION("""COMPUTED_VALUE"""),"")</f>
        <v/>
      </c>
      <c r="M371" s="3"/>
    </row>
    <row r="372">
      <c r="C372" s="3"/>
      <c r="D372" s="3"/>
      <c r="E372" s="3"/>
      <c r="F372" s="3"/>
      <c r="J372" s="3" t="str">
        <f>IFERROR(__xludf.DUMMYFUNCTION("""COMPUTED_VALUE"""),"")</f>
        <v/>
      </c>
      <c r="M372" s="3"/>
    </row>
    <row r="373">
      <c r="C373" s="3"/>
      <c r="D373" s="3"/>
      <c r="E373" s="3"/>
      <c r="F373" s="3"/>
      <c r="J373" s="3" t="str">
        <f>IFERROR(__xludf.DUMMYFUNCTION("""COMPUTED_VALUE"""),"")</f>
        <v/>
      </c>
      <c r="M373" s="3"/>
    </row>
    <row r="374">
      <c r="C374" s="3"/>
      <c r="D374" s="3"/>
      <c r="E374" s="3"/>
      <c r="F374" s="3"/>
      <c r="J374" s="3" t="str">
        <f>IFERROR(__xludf.DUMMYFUNCTION("""COMPUTED_VALUE"""),"")</f>
        <v/>
      </c>
      <c r="M374" s="3"/>
    </row>
    <row r="375">
      <c r="C375" s="3"/>
      <c r="D375" s="3"/>
      <c r="E375" s="3"/>
      <c r="F375" s="3"/>
      <c r="J375" s="3" t="str">
        <f>IFERROR(__xludf.DUMMYFUNCTION("""COMPUTED_VALUE"""),"")</f>
        <v/>
      </c>
      <c r="M375" s="3"/>
    </row>
    <row r="376">
      <c r="C376" s="3"/>
      <c r="D376" s="3"/>
      <c r="E376" s="3"/>
      <c r="F376" s="3"/>
      <c r="J376" s="3" t="str">
        <f>IFERROR(__xludf.DUMMYFUNCTION("""COMPUTED_VALUE"""),"")</f>
        <v/>
      </c>
      <c r="M376" s="3"/>
    </row>
    <row r="377">
      <c r="C377" s="3"/>
      <c r="D377" s="3"/>
      <c r="E377" s="3"/>
      <c r="F377" s="3"/>
      <c r="J377" s="3" t="str">
        <f>IFERROR(__xludf.DUMMYFUNCTION("""COMPUTED_VALUE"""),"")</f>
        <v/>
      </c>
      <c r="M377" s="3"/>
    </row>
    <row r="378">
      <c r="C378" s="3"/>
      <c r="D378" s="3"/>
      <c r="E378" s="3"/>
      <c r="F378" s="3"/>
      <c r="J378" s="3" t="str">
        <f>IFERROR(__xludf.DUMMYFUNCTION("""COMPUTED_VALUE"""),"")</f>
        <v/>
      </c>
      <c r="M378" s="3"/>
    </row>
    <row r="379">
      <c r="C379" s="3"/>
      <c r="D379" s="3"/>
      <c r="E379" s="3"/>
      <c r="F379" s="3"/>
      <c r="J379" s="3" t="str">
        <f>IFERROR(__xludf.DUMMYFUNCTION("""COMPUTED_VALUE"""),"")</f>
        <v/>
      </c>
      <c r="M379" s="3"/>
    </row>
    <row r="380">
      <c r="C380" s="3"/>
      <c r="D380" s="3"/>
      <c r="E380" s="3"/>
      <c r="F380" s="3"/>
      <c r="J380" s="3" t="str">
        <f>IFERROR(__xludf.DUMMYFUNCTION("""COMPUTED_VALUE"""),"")</f>
        <v/>
      </c>
      <c r="M380" s="3"/>
    </row>
    <row r="381">
      <c r="C381" s="3"/>
      <c r="D381" s="3"/>
      <c r="E381" s="3"/>
      <c r="F381" s="3"/>
      <c r="J381" s="3" t="str">
        <f>IFERROR(__xludf.DUMMYFUNCTION("""COMPUTED_VALUE"""),"")</f>
        <v/>
      </c>
      <c r="M381" s="3"/>
    </row>
    <row r="382">
      <c r="C382" s="3"/>
      <c r="D382" s="3"/>
      <c r="E382" s="3"/>
      <c r="F382" s="3"/>
      <c r="J382" s="3" t="str">
        <f>IFERROR(__xludf.DUMMYFUNCTION("""COMPUTED_VALUE"""),"")</f>
        <v/>
      </c>
      <c r="M382" s="3"/>
    </row>
    <row r="383">
      <c r="C383" s="3"/>
      <c r="D383" s="3"/>
      <c r="E383" s="3"/>
      <c r="F383" s="3"/>
      <c r="J383" s="3" t="str">
        <f>IFERROR(__xludf.DUMMYFUNCTION("""COMPUTED_VALUE"""),"")</f>
        <v/>
      </c>
      <c r="M383" s="3"/>
    </row>
    <row r="384">
      <c r="C384" s="3"/>
      <c r="D384" s="3"/>
      <c r="E384" s="3"/>
      <c r="F384" s="3"/>
      <c r="J384" s="3" t="str">
        <f>IFERROR(__xludf.DUMMYFUNCTION("""COMPUTED_VALUE"""),"")</f>
        <v/>
      </c>
      <c r="M384" s="3"/>
    </row>
    <row r="385">
      <c r="C385" s="3"/>
      <c r="D385" s="3"/>
      <c r="E385" s="3"/>
      <c r="F385" s="3"/>
      <c r="J385" s="3" t="str">
        <f>IFERROR(__xludf.DUMMYFUNCTION("""COMPUTED_VALUE"""),"")</f>
        <v/>
      </c>
      <c r="M385" s="3"/>
    </row>
    <row r="386">
      <c r="C386" s="3"/>
      <c r="D386" s="3"/>
      <c r="E386" s="3"/>
      <c r="F386" s="3"/>
      <c r="J386" s="3" t="str">
        <f>IFERROR(__xludf.DUMMYFUNCTION("""COMPUTED_VALUE"""),"")</f>
        <v/>
      </c>
      <c r="M386" s="3"/>
    </row>
    <row r="387">
      <c r="C387" s="3"/>
      <c r="D387" s="3"/>
      <c r="E387" s="3"/>
      <c r="F387" s="3"/>
      <c r="J387" s="3" t="str">
        <f>IFERROR(__xludf.DUMMYFUNCTION("""COMPUTED_VALUE"""),"")</f>
        <v/>
      </c>
      <c r="M387" s="3"/>
    </row>
    <row r="388">
      <c r="C388" s="3"/>
      <c r="D388" s="3"/>
      <c r="E388" s="3"/>
      <c r="F388" s="3"/>
      <c r="J388" s="3" t="str">
        <f>IFERROR(__xludf.DUMMYFUNCTION("""COMPUTED_VALUE"""),"")</f>
        <v/>
      </c>
      <c r="M388" s="3"/>
    </row>
    <row r="389">
      <c r="C389" s="3"/>
      <c r="D389" s="3"/>
      <c r="E389" s="3"/>
      <c r="F389" s="3"/>
      <c r="J389" s="3" t="str">
        <f>IFERROR(__xludf.DUMMYFUNCTION("""COMPUTED_VALUE"""),"")</f>
        <v/>
      </c>
      <c r="M389" s="3"/>
    </row>
    <row r="390">
      <c r="C390" s="3"/>
      <c r="D390" s="3"/>
      <c r="E390" s="3"/>
      <c r="F390" s="3"/>
      <c r="J390" s="3" t="str">
        <f>IFERROR(__xludf.DUMMYFUNCTION("""COMPUTED_VALUE"""),"")</f>
        <v/>
      </c>
      <c r="M390" s="3"/>
    </row>
    <row r="391">
      <c r="C391" s="3"/>
      <c r="D391" s="3"/>
      <c r="E391" s="3"/>
      <c r="F391" s="3"/>
      <c r="J391" s="3" t="str">
        <f>IFERROR(__xludf.DUMMYFUNCTION("""COMPUTED_VALUE"""),"")</f>
        <v/>
      </c>
      <c r="M391" s="3"/>
    </row>
    <row r="392">
      <c r="C392" s="3"/>
      <c r="D392" s="3"/>
      <c r="E392" s="3"/>
      <c r="F392" s="3"/>
      <c r="J392" s="3" t="str">
        <f>IFERROR(__xludf.DUMMYFUNCTION("""COMPUTED_VALUE"""),"")</f>
        <v/>
      </c>
      <c r="M392" s="3"/>
    </row>
    <row r="393">
      <c r="C393" s="3"/>
      <c r="D393" s="3"/>
      <c r="E393" s="3"/>
      <c r="F393" s="3"/>
      <c r="J393" s="3" t="str">
        <f>IFERROR(__xludf.DUMMYFUNCTION("""COMPUTED_VALUE"""),"")</f>
        <v/>
      </c>
      <c r="M393" s="3"/>
    </row>
    <row r="394">
      <c r="C394" s="3"/>
      <c r="D394" s="3"/>
      <c r="E394" s="3"/>
      <c r="F394" s="3"/>
      <c r="J394" s="3" t="str">
        <f>IFERROR(__xludf.DUMMYFUNCTION("""COMPUTED_VALUE"""),"")</f>
        <v/>
      </c>
      <c r="M394" s="3"/>
    </row>
    <row r="395">
      <c r="C395" s="3"/>
      <c r="D395" s="3"/>
      <c r="E395" s="3"/>
      <c r="F395" s="3"/>
      <c r="J395" s="3" t="str">
        <f>IFERROR(__xludf.DUMMYFUNCTION("""COMPUTED_VALUE"""),"")</f>
        <v/>
      </c>
      <c r="M395" s="3"/>
    </row>
    <row r="396">
      <c r="C396" s="3"/>
      <c r="D396" s="3"/>
      <c r="E396" s="3"/>
      <c r="F396" s="3"/>
      <c r="J396" s="3" t="str">
        <f>IFERROR(__xludf.DUMMYFUNCTION("""COMPUTED_VALUE"""),"")</f>
        <v/>
      </c>
      <c r="M396" s="3"/>
    </row>
    <row r="397">
      <c r="C397" s="3"/>
      <c r="D397" s="3"/>
      <c r="E397" s="3"/>
      <c r="F397" s="3"/>
      <c r="J397" s="3" t="str">
        <f>IFERROR(__xludf.DUMMYFUNCTION("""COMPUTED_VALUE"""),"")</f>
        <v/>
      </c>
      <c r="M397" s="3"/>
    </row>
    <row r="398">
      <c r="C398" s="3"/>
      <c r="D398" s="3"/>
      <c r="E398" s="3"/>
      <c r="F398" s="3"/>
      <c r="J398" s="3" t="str">
        <f>IFERROR(__xludf.DUMMYFUNCTION("""COMPUTED_VALUE"""),"")</f>
        <v/>
      </c>
      <c r="M398" s="3"/>
    </row>
    <row r="399">
      <c r="C399" s="3"/>
      <c r="D399" s="3"/>
      <c r="E399" s="3"/>
      <c r="F399" s="3"/>
      <c r="J399" s="3" t="str">
        <f>IFERROR(__xludf.DUMMYFUNCTION("""COMPUTED_VALUE"""),"")</f>
        <v/>
      </c>
      <c r="M399" s="3"/>
    </row>
    <row r="400">
      <c r="C400" s="3"/>
      <c r="D400" s="3"/>
      <c r="E400" s="3"/>
      <c r="F400" s="3"/>
      <c r="J400" s="3" t="str">
        <f>IFERROR(__xludf.DUMMYFUNCTION("""COMPUTED_VALUE"""),"")</f>
        <v/>
      </c>
      <c r="M400" s="3"/>
    </row>
    <row r="401">
      <c r="C401" s="3"/>
      <c r="D401" s="3"/>
      <c r="E401" s="3"/>
      <c r="F401" s="3"/>
      <c r="J401" s="3" t="str">
        <f>IFERROR(__xludf.DUMMYFUNCTION("""COMPUTED_VALUE"""),"")</f>
        <v/>
      </c>
      <c r="M401" s="3"/>
    </row>
    <row r="402">
      <c r="C402" s="3"/>
      <c r="D402" s="3"/>
      <c r="E402" s="3"/>
      <c r="F402" s="3"/>
      <c r="J402" s="3" t="str">
        <f>IFERROR(__xludf.DUMMYFUNCTION("""COMPUTED_VALUE"""),"")</f>
        <v/>
      </c>
      <c r="M402" s="3"/>
    </row>
    <row r="403">
      <c r="C403" s="3"/>
      <c r="D403" s="3"/>
      <c r="E403" s="3"/>
      <c r="F403" s="3"/>
      <c r="J403" s="3" t="str">
        <f>IFERROR(__xludf.DUMMYFUNCTION("""COMPUTED_VALUE"""),"")</f>
        <v/>
      </c>
      <c r="M403" s="3"/>
    </row>
    <row r="404">
      <c r="C404" s="3"/>
      <c r="D404" s="3"/>
      <c r="E404" s="3"/>
      <c r="F404" s="3"/>
      <c r="J404" s="3" t="str">
        <f>IFERROR(__xludf.DUMMYFUNCTION("""COMPUTED_VALUE"""),"")</f>
        <v/>
      </c>
      <c r="M404" s="3"/>
    </row>
    <row r="405">
      <c r="C405" s="3"/>
      <c r="D405" s="3"/>
      <c r="E405" s="3"/>
      <c r="F405" s="3"/>
      <c r="J405" s="3" t="str">
        <f>IFERROR(__xludf.DUMMYFUNCTION("""COMPUTED_VALUE"""),"")</f>
        <v/>
      </c>
      <c r="M405" s="3"/>
    </row>
    <row r="406">
      <c r="C406" s="3"/>
      <c r="D406" s="3"/>
      <c r="E406" s="3"/>
      <c r="F406" s="3"/>
      <c r="J406" s="3" t="str">
        <f>IFERROR(__xludf.DUMMYFUNCTION("""COMPUTED_VALUE"""),"")</f>
        <v/>
      </c>
      <c r="M406" s="3"/>
    </row>
    <row r="407">
      <c r="C407" s="3"/>
      <c r="D407" s="3"/>
      <c r="E407" s="3"/>
      <c r="F407" s="3"/>
      <c r="J407" s="3" t="str">
        <f>IFERROR(__xludf.DUMMYFUNCTION("""COMPUTED_VALUE"""),"")</f>
        <v/>
      </c>
      <c r="M407" s="3"/>
    </row>
    <row r="408">
      <c r="C408" s="3"/>
      <c r="D408" s="3"/>
      <c r="E408" s="3"/>
      <c r="F408" s="3"/>
      <c r="J408" s="3" t="str">
        <f>IFERROR(__xludf.DUMMYFUNCTION("""COMPUTED_VALUE"""),"")</f>
        <v/>
      </c>
      <c r="M408" s="3"/>
    </row>
    <row r="409">
      <c r="C409" s="3"/>
      <c r="D409" s="3"/>
      <c r="E409" s="3"/>
      <c r="F409" s="3"/>
      <c r="J409" s="3" t="str">
        <f>IFERROR(__xludf.DUMMYFUNCTION("""COMPUTED_VALUE"""),"")</f>
        <v/>
      </c>
      <c r="M409" s="3"/>
    </row>
    <row r="410">
      <c r="C410" s="3"/>
      <c r="D410" s="3"/>
      <c r="E410" s="3"/>
      <c r="F410" s="3"/>
      <c r="J410" s="3" t="str">
        <f>IFERROR(__xludf.DUMMYFUNCTION("""COMPUTED_VALUE"""),"")</f>
        <v/>
      </c>
      <c r="M410" s="3"/>
    </row>
    <row r="411">
      <c r="C411" s="3"/>
      <c r="D411" s="3"/>
      <c r="E411" s="3"/>
      <c r="F411" s="3"/>
      <c r="J411" s="3" t="str">
        <f>IFERROR(__xludf.DUMMYFUNCTION("""COMPUTED_VALUE"""),"")</f>
        <v/>
      </c>
      <c r="M411" s="3"/>
    </row>
    <row r="412">
      <c r="C412" s="3"/>
      <c r="D412" s="3"/>
      <c r="E412" s="3"/>
      <c r="F412" s="3"/>
      <c r="J412" s="3" t="str">
        <f>IFERROR(__xludf.DUMMYFUNCTION("""COMPUTED_VALUE"""),"")</f>
        <v/>
      </c>
      <c r="M412" s="3"/>
    </row>
    <row r="413">
      <c r="C413" s="3"/>
      <c r="D413" s="3"/>
      <c r="E413" s="3"/>
      <c r="F413" s="3"/>
      <c r="J413" s="3" t="str">
        <f>IFERROR(__xludf.DUMMYFUNCTION("""COMPUTED_VALUE"""),"")</f>
        <v/>
      </c>
      <c r="M413" s="3"/>
    </row>
    <row r="414">
      <c r="C414" s="3"/>
      <c r="D414" s="3"/>
      <c r="E414" s="3"/>
      <c r="F414" s="3"/>
      <c r="J414" s="3" t="str">
        <f>IFERROR(__xludf.DUMMYFUNCTION("""COMPUTED_VALUE"""),"")</f>
        <v/>
      </c>
      <c r="M414" s="3"/>
    </row>
    <row r="415">
      <c r="C415" s="3"/>
      <c r="D415" s="3"/>
      <c r="E415" s="3"/>
      <c r="F415" s="3"/>
      <c r="J415" s="3" t="str">
        <f>IFERROR(__xludf.DUMMYFUNCTION("""COMPUTED_VALUE"""),"")</f>
        <v/>
      </c>
      <c r="M415" s="3"/>
    </row>
    <row r="416">
      <c r="C416" s="3"/>
      <c r="D416" s="3"/>
      <c r="E416" s="3"/>
      <c r="F416" s="3"/>
      <c r="J416" s="3" t="str">
        <f>IFERROR(__xludf.DUMMYFUNCTION("""COMPUTED_VALUE"""),"")</f>
        <v/>
      </c>
      <c r="M416" s="3"/>
    </row>
    <row r="417">
      <c r="C417" s="3"/>
      <c r="D417" s="3"/>
      <c r="E417" s="3"/>
      <c r="F417" s="3"/>
      <c r="J417" s="3" t="str">
        <f>IFERROR(__xludf.DUMMYFUNCTION("""COMPUTED_VALUE"""),"")</f>
        <v/>
      </c>
      <c r="M417" s="3"/>
    </row>
    <row r="418">
      <c r="C418" s="3"/>
      <c r="D418" s="3"/>
      <c r="E418" s="3"/>
      <c r="F418" s="3"/>
      <c r="J418" s="3" t="str">
        <f>IFERROR(__xludf.DUMMYFUNCTION("""COMPUTED_VALUE"""),"")</f>
        <v/>
      </c>
      <c r="M418" s="3"/>
    </row>
    <row r="419">
      <c r="C419" s="3"/>
      <c r="D419" s="3"/>
      <c r="E419" s="3"/>
      <c r="F419" s="3"/>
      <c r="J419" s="3" t="str">
        <f>IFERROR(__xludf.DUMMYFUNCTION("""COMPUTED_VALUE"""),"")</f>
        <v/>
      </c>
      <c r="M419" s="3"/>
    </row>
    <row r="420">
      <c r="C420" s="3"/>
      <c r="D420" s="3"/>
      <c r="E420" s="3"/>
      <c r="F420" s="3"/>
      <c r="J420" s="3" t="str">
        <f>IFERROR(__xludf.DUMMYFUNCTION("""COMPUTED_VALUE"""),"")</f>
        <v/>
      </c>
      <c r="M420" s="3"/>
    </row>
    <row r="421">
      <c r="C421" s="3"/>
      <c r="D421" s="3"/>
      <c r="E421" s="3"/>
      <c r="F421" s="3"/>
      <c r="J421" s="3" t="str">
        <f>IFERROR(__xludf.DUMMYFUNCTION("""COMPUTED_VALUE"""),"")</f>
        <v/>
      </c>
      <c r="M421" s="3"/>
    </row>
    <row r="422">
      <c r="C422" s="3"/>
      <c r="D422" s="3"/>
      <c r="E422" s="3"/>
      <c r="F422" s="3"/>
      <c r="J422" s="3" t="str">
        <f>IFERROR(__xludf.DUMMYFUNCTION("""COMPUTED_VALUE"""),"")</f>
        <v/>
      </c>
      <c r="M422" s="3"/>
    </row>
    <row r="423">
      <c r="C423" s="3"/>
      <c r="D423" s="3"/>
      <c r="E423" s="3"/>
      <c r="F423" s="3"/>
      <c r="J423" s="3" t="str">
        <f>IFERROR(__xludf.DUMMYFUNCTION("""COMPUTED_VALUE"""),"")</f>
        <v/>
      </c>
      <c r="M423" s="3"/>
    </row>
    <row r="424">
      <c r="C424" s="3"/>
      <c r="D424" s="3"/>
      <c r="E424" s="3"/>
      <c r="F424" s="3"/>
      <c r="J424" s="3" t="str">
        <f>IFERROR(__xludf.DUMMYFUNCTION("""COMPUTED_VALUE"""),"")</f>
        <v/>
      </c>
      <c r="M424" s="3"/>
    </row>
    <row r="425">
      <c r="C425" s="3"/>
      <c r="D425" s="3"/>
      <c r="E425" s="3"/>
      <c r="F425" s="3"/>
      <c r="J425" s="3" t="str">
        <f>IFERROR(__xludf.DUMMYFUNCTION("""COMPUTED_VALUE"""),"")</f>
        <v/>
      </c>
      <c r="M425" s="3"/>
    </row>
    <row r="426">
      <c r="C426" s="3"/>
      <c r="D426" s="3"/>
      <c r="E426" s="3"/>
      <c r="F426" s="3"/>
      <c r="J426" s="3" t="str">
        <f>IFERROR(__xludf.DUMMYFUNCTION("""COMPUTED_VALUE"""),"")</f>
        <v/>
      </c>
      <c r="M426" s="3"/>
    </row>
    <row r="427">
      <c r="C427" s="3"/>
      <c r="D427" s="3"/>
      <c r="E427" s="3"/>
      <c r="F427" s="3"/>
      <c r="J427" s="3" t="str">
        <f>IFERROR(__xludf.DUMMYFUNCTION("""COMPUTED_VALUE"""),"")</f>
        <v/>
      </c>
      <c r="M427" s="3"/>
    </row>
    <row r="428">
      <c r="C428" s="3"/>
      <c r="D428" s="3"/>
      <c r="E428" s="3"/>
      <c r="F428" s="3"/>
      <c r="J428" s="3" t="str">
        <f>IFERROR(__xludf.DUMMYFUNCTION("""COMPUTED_VALUE"""),"")</f>
        <v/>
      </c>
      <c r="M428" s="3"/>
    </row>
    <row r="429">
      <c r="C429" s="3"/>
      <c r="D429" s="3"/>
      <c r="E429" s="3"/>
      <c r="F429" s="3"/>
      <c r="J429" s="3" t="str">
        <f>IFERROR(__xludf.DUMMYFUNCTION("""COMPUTED_VALUE"""),"")</f>
        <v/>
      </c>
      <c r="M429" s="3"/>
    </row>
    <row r="430">
      <c r="C430" s="3"/>
      <c r="D430" s="3"/>
      <c r="E430" s="3"/>
      <c r="F430" s="3"/>
      <c r="J430" s="3" t="str">
        <f>IFERROR(__xludf.DUMMYFUNCTION("""COMPUTED_VALUE"""),"")</f>
        <v/>
      </c>
      <c r="M430" s="3"/>
    </row>
    <row r="431">
      <c r="C431" s="3"/>
      <c r="D431" s="3"/>
      <c r="E431" s="3"/>
      <c r="F431" s="3"/>
      <c r="J431" s="3" t="str">
        <f>IFERROR(__xludf.DUMMYFUNCTION("""COMPUTED_VALUE"""),"")</f>
        <v/>
      </c>
      <c r="M431" s="3"/>
    </row>
    <row r="432">
      <c r="C432" s="3"/>
      <c r="D432" s="3"/>
      <c r="E432" s="3"/>
      <c r="F432" s="3"/>
      <c r="J432" s="3" t="str">
        <f>IFERROR(__xludf.DUMMYFUNCTION("""COMPUTED_VALUE"""),"")</f>
        <v/>
      </c>
      <c r="M432" s="3"/>
    </row>
    <row r="433">
      <c r="C433" s="3"/>
      <c r="D433" s="3"/>
      <c r="E433" s="3"/>
      <c r="F433" s="3"/>
      <c r="J433" s="3" t="str">
        <f>IFERROR(__xludf.DUMMYFUNCTION("""COMPUTED_VALUE"""),"")</f>
        <v/>
      </c>
      <c r="M433" s="3"/>
    </row>
    <row r="434">
      <c r="C434" s="3"/>
      <c r="D434" s="3"/>
      <c r="E434" s="3"/>
      <c r="F434" s="3"/>
      <c r="J434" s="3" t="str">
        <f>IFERROR(__xludf.DUMMYFUNCTION("""COMPUTED_VALUE"""),"")</f>
        <v/>
      </c>
      <c r="M434" s="3"/>
    </row>
    <row r="435">
      <c r="C435" s="3"/>
      <c r="D435" s="3"/>
      <c r="E435" s="3"/>
      <c r="F435" s="3"/>
      <c r="J435" s="3" t="str">
        <f>IFERROR(__xludf.DUMMYFUNCTION("""COMPUTED_VALUE"""),"")</f>
        <v/>
      </c>
      <c r="M435" s="3"/>
    </row>
    <row r="436">
      <c r="C436" s="3"/>
      <c r="D436" s="3"/>
      <c r="E436" s="3"/>
      <c r="F436" s="3"/>
      <c r="J436" s="3" t="str">
        <f>IFERROR(__xludf.DUMMYFUNCTION("""COMPUTED_VALUE"""),"")</f>
        <v/>
      </c>
      <c r="M436" s="3"/>
    </row>
    <row r="437">
      <c r="C437" s="3"/>
      <c r="D437" s="3"/>
      <c r="E437" s="3"/>
      <c r="F437" s="3"/>
      <c r="J437" s="3" t="str">
        <f>IFERROR(__xludf.DUMMYFUNCTION("""COMPUTED_VALUE"""),"")</f>
        <v/>
      </c>
      <c r="M437" s="3"/>
    </row>
    <row r="438">
      <c r="C438" s="3"/>
      <c r="D438" s="3"/>
      <c r="E438" s="3"/>
      <c r="F438" s="3"/>
      <c r="J438" s="3" t="str">
        <f>IFERROR(__xludf.DUMMYFUNCTION("""COMPUTED_VALUE"""),"")</f>
        <v/>
      </c>
      <c r="M438" s="3"/>
    </row>
    <row r="439">
      <c r="C439" s="3"/>
      <c r="D439" s="3"/>
      <c r="E439" s="3"/>
      <c r="F439" s="3"/>
      <c r="J439" s="3" t="str">
        <f>IFERROR(__xludf.DUMMYFUNCTION("""COMPUTED_VALUE"""),"")</f>
        <v/>
      </c>
      <c r="M439" s="3"/>
    </row>
    <row r="440">
      <c r="C440" s="3"/>
      <c r="D440" s="3"/>
      <c r="E440" s="3"/>
      <c r="F440" s="3"/>
      <c r="J440" s="3" t="str">
        <f>IFERROR(__xludf.DUMMYFUNCTION("""COMPUTED_VALUE"""),"")</f>
        <v/>
      </c>
      <c r="M440" s="3"/>
    </row>
    <row r="441">
      <c r="C441" s="3"/>
      <c r="D441" s="3"/>
      <c r="E441" s="3"/>
      <c r="F441" s="3"/>
      <c r="J441" s="3" t="str">
        <f>IFERROR(__xludf.DUMMYFUNCTION("""COMPUTED_VALUE"""),"")</f>
        <v/>
      </c>
      <c r="M441" s="3"/>
    </row>
    <row r="442">
      <c r="C442" s="3"/>
      <c r="D442" s="3"/>
      <c r="E442" s="3"/>
      <c r="F442" s="3"/>
      <c r="J442" s="3" t="str">
        <f>IFERROR(__xludf.DUMMYFUNCTION("""COMPUTED_VALUE"""),"")</f>
        <v/>
      </c>
      <c r="M442" s="3"/>
    </row>
    <row r="443">
      <c r="C443" s="3"/>
      <c r="D443" s="3"/>
      <c r="E443" s="3"/>
      <c r="F443" s="3"/>
      <c r="J443" s="3" t="str">
        <f>IFERROR(__xludf.DUMMYFUNCTION("""COMPUTED_VALUE"""),"")</f>
        <v/>
      </c>
      <c r="M443" s="3"/>
    </row>
    <row r="444">
      <c r="C444" s="3"/>
      <c r="D444" s="3"/>
      <c r="E444" s="3"/>
      <c r="F444" s="3"/>
      <c r="J444" s="3" t="str">
        <f>IFERROR(__xludf.DUMMYFUNCTION("""COMPUTED_VALUE"""),"")</f>
        <v/>
      </c>
      <c r="M444" s="3"/>
    </row>
    <row r="445">
      <c r="C445" s="3"/>
      <c r="D445" s="3"/>
      <c r="E445" s="3"/>
      <c r="F445" s="3"/>
      <c r="J445" s="3" t="str">
        <f>IFERROR(__xludf.DUMMYFUNCTION("""COMPUTED_VALUE"""),"")</f>
        <v/>
      </c>
      <c r="M445" s="3"/>
    </row>
    <row r="446">
      <c r="C446" s="3"/>
      <c r="D446" s="3"/>
      <c r="E446" s="3"/>
      <c r="F446" s="3"/>
      <c r="J446" s="3" t="str">
        <f>IFERROR(__xludf.DUMMYFUNCTION("""COMPUTED_VALUE"""),"")</f>
        <v/>
      </c>
      <c r="M446" s="3"/>
    </row>
    <row r="447">
      <c r="C447" s="3"/>
      <c r="D447" s="3"/>
      <c r="E447" s="3"/>
      <c r="F447" s="3"/>
      <c r="J447" s="3" t="str">
        <f>IFERROR(__xludf.DUMMYFUNCTION("""COMPUTED_VALUE"""),"")</f>
        <v/>
      </c>
      <c r="M447" s="3"/>
    </row>
    <row r="448">
      <c r="C448" s="3"/>
      <c r="D448" s="3"/>
      <c r="E448" s="3"/>
      <c r="F448" s="3"/>
      <c r="J448" s="3" t="str">
        <f>IFERROR(__xludf.DUMMYFUNCTION("""COMPUTED_VALUE"""),"")</f>
        <v/>
      </c>
      <c r="M448" s="3"/>
    </row>
    <row r="449">
      <c r="C449" s="3"/>
      <c r="D449" s="3"/>
      <c r="E449" s="3"/>
      <c r="F449" s="3"/>
      <c r="J449" s="3" t="str">
        <f>IFERROR(__xludf.DUMMYFUNCTION("""COMPUTED_VALUE"""),"")</f>
        <v/>
      </c>
      <c r="M449" s="3"/>
    </row>
    <row r="450">
      <c r="C450" s="3"/>
      <c r="D450" s="3"/>
      <c r="E450" s="3"/>
      <c r="F450" s="3"/>
      <c r="J450" s="3" t="str">
        <f>IFERROR(__xludf.DUMMYFUNCTION("""COMPUTED_VALUE"""),"")</f>
        <v/>
      </c>
      <c r="M450" s="3"/>
    </row>
    <row r="451">
      <c r="C451" s="3"/>
      <c r="D451" s="3"/>
      <c r="E451" s="3"/>
      <c r="F451" s="3"/>
      <c r="J451" s="3" t="str">
        <f>IFERROR(__xludf.DUMMYFUNCTION("""COMPUTED_VALUE"""),"")</f>
        <v/>
      </c>
      <c r="M451" s="3"/>
    </row>
    <row r="452">
      <c r="C452" s="3"/>
      <c r="D452" s="3"/>
      <c r="E452" s="3"/>
      <c r="F452" s="3"/>
      <c r="J452" s="3" t="str">
        <f>IFERROR(__xludf.DUMMYFUNCTION("""COMPUTED_VALUE"""),"")</f>
        <v/>
      </c>
      <c r="M452" s="3"/>
    </row>
    <row r="453">
      <c r="C453" s="3"/>
      <c r="D453" s="3"/>
      <c r="E453" s="3"/>
      <c r="F453" s="3"/>
      <c r="J453" s="3" t="str">
        <f>IFERROR(__xludf.DUMMYFUNCTION("""COMPUTED_VALUE"""),"")</f>
        <v/>
      </c>
      <c r="M453" s="3"/>
    </row>
    <row r="454">
      <c r="C454" s="3"/>
      <c r="D454" s="3"/>
      <c r="E454" s="3"/>
      <c r="F454" s="3"/>
      <c r="J454" s="3" t="str">
        <f>IFERROR(__xludf.DUMMYFUNCTION("""COMPUTED_VALUE"""),"")</f>
        <v/>
      </c>
      <c r="M454" s="3"/>
    </row>
    <row r="455">
      <c r="C455" s="3"/>
      <c r="D455" s="3"/>
      <c r="E455" s="3"/>
      <c r="F455" s="3"/>
      <c r="J455" s="3" t="str">
        <f>IFERROR(__xludf.DUMMYFUNCTION("""COMPUTED_VALUE"""),"")</f>
        <v/>
      </c>
      <c r="M455" s="3"/>
    </row>
    <row r="456">
      <c r="C456" s="3"/>
      <c r="D456" s="3"/>
      <c r="E456" s="3"/>
      <c r="F456" s="3"/>
      <c r="J456" s="3" t="str">
        <f>IFERROR(__xludf.DUMMYFUNCTION("""COMPUTED_VALUE"""),"")</f>
        <v/>
      </c>
      <c r="M456" s="3"/>
    </row>
    <row r="457">
      <c r="C457" s="3"/>
      <c r="D457" s="3"/>
      <c r="E457" s="3"/>
      <c r="F457" s="3"/>
      <c r="J457" s="3" t="str">
        <f>IFERROR(__xludf.DUMMYFUNCTION("""COMPUTED_VALUE"""),"")</f>
        <v/>
      </c>
      <c r="M457" s="3"/>
    </row>
    <row r="458">
      <c r="C458" s="3"/>
      <c r="D458" s="3"/>
      <c r="E458" s="3"/>
      <c r="F458" s="3"/>
      <c r="J458" s="3" t="str">
        <f>IFERROR(__xludf.DUMMYFUNCTION("""COMPUTED_VALUE"""),"")</f>
        <v/>
      </c>
      <c r="M458" s="3"/>
    </row>
    <row r="459">
      <c r="C459" s="3"/>
      <c r="D459" s="3"/>
      <c r="E459" s="3"/>
      <c r="F459" s="3"/>
      <c r="J459" s="3" t="str">
        <f>IFERROR(__xludf.DUMMYFUNCTION("""COMPUTED_VALUE"""),"")</f>
        <v/>
      </c>
      <c r="M459" s="3"/>
    </row>
    <row r="460">
      <c r="C460" s="3"/>
      <c r="D460" s="3"/>
      <c r="E460" s="3"/>
      <c r="F460" s="3"/>
      <c r="J460" s="3" t="str">
        <f>IFERROR(__xludf.DUMMYFUNCTION("""COMPUTED_VALUE"""),"")</f>
        <v/>
      </c>
      <c r="M460" s="3"/>
    </row>
    <row r="461">
      <c r="C461" s="3"/>
      <c r="D461" s="3"/>
      <c r="E461" s="3"/>
      <c r="F461" s="3"/>
      <c r="J461" s="3" t="str">
        <f>IFERROR(__xludf.DUMMYFUNCTION("""COMPUTED_VALUE"""),"")</f>
        <v/>
      </c>
      <c r="M461" s="3"/>
    </row>
    <row r="462">
      <c r="C462" s="3"/>
      <c r="D462" s="3"/>
      <c r="E462" s="3"/>
      <c r="F462" s="3"/>
      <c r="J462" s="3" t="str">
        <f>IFERROR(__xludf.DUMMYFUNCTION("""COMPUTED_VALUE"""),"")</f>
        <v/>
      </c>
      <c r="M462" s="3"/>
    </row>
    <row r="463">
      <c r="C463" s="3"/>
      <c r="D463" s="3"/>
      <c r="E463" s="3"/>
      <c r="F463" s="3"/>
      <c r="J463" s="3" t="str">
        <f>IFERROR(__xludf.DUMMYFUNCTION("""COMPUTED_VALUE"""),"")</f>
        <v/>
      </c>
      <c r="M463" s="3"/>
    </row>
    <row r="464">
      <c r="C464" s="3"/>
      <c r="D464" s="3"/>
      <c r="E464" s="3"/>
      <c r="F464" s="3"/>
      <c r="J464" s="3" t="str">
        <f>IFERROR(__xludf.DUMMYFUNCTION("""COMPUTED_VALUE"""),"")</f>
        <v/>
      </c>
      <c r="M464" s="3"/>
    </row>
    <row r="465">
      <c r="C465" s="3"/>
      <c r="D465" s="3"/>
      <c r="E465" s="3"/>
      <c r="F465" s="3"/>
      <c r="J465" s="3" t="str">
        <f>IFERROR(__xludf.DUMMYFUNCTION("""COMPUTED_VALUE"""),"")</f>
        <v/>
      </c>
      <c r="M465" s="3"/>
    </row>
    <row r="466">
      <c r="C466" s="3"/>
      <c r="D466" s="3"/>
      <c r="E466" s="3"/>
      <c r="F466" s="3"/>
      <c r="J466" s="3" t="str">
        <f>IFERROR(__xludf.DUMMYFUNCTION("""COMPUTED_VALUE"""),"")</f>
        <v/>
      </c>
      <c r="M466" s="3"/>
    </row>
    <row r="467">
      <c r="C467" s="3"/>
      <c r="D467" s="3"/>
      <c r="E467" s="3"/>
      <c r="F467" s="3"/>
      <c r="J467" s="3" t="str">
        <f>IFERROR(__xludf.DUMMYFUNCTION("""COMPUTED_VALUE"""),"")</f>
        <v/>
      </c>
      <c r="M467" s="3"/>
    </row>
    <row r="468">
      <c r="C468" s="3"/>
      <c r="D468" s="3"/>
      <c r="E468" s="3"/>
      <c r="F468" s="3"/>
      <c r="J468" s="3" t="str">
        <f>IFERROR(__xludf.DUMMYFUNCTION("""COMPUTED_VALUE"""),"")</f>
        <v/>
      </c>
      <c r="M468" s="3"/>
    </row>
    <row r="469">
      <c r="C469" s="3"/>
      <c r="D469" s="3"/>
      <c r="E469" s="3"/>
      <c r="F469" s="3"/>
      <c r="J469" s="3" t="str">
        <f>IFERROR(__xludf.DUMMYFUNCTION("""COMPUTED_VALUE"""),"")</f>
        <v/>
      </c>
      <c r="M469" s="3"/>
    </row>
    <row r="470">
      <c r="C470" s="3"/>
      <c r="D470" s="3"/>
      <c r="E470" s="3"/>
      <c r="F470" s="3"/>
      <c r="J470" s="3" t="str">
        <f>IFERROR(__xludf.DUMMYFUNCTION("""COMPUTED_VALUE"""),"")</f>
        <v/>
      </c>
      <c r="M470" s="3"/>
    </row>
    <row r="471">
      <c r="C471" s="3"/>
      <c r="D471" s="3"/>
      <c r="E471" s="3"/>
      <c r="F471" s="3"/>
      <c r="J471" s="3" t="str">
        <f>IFERROR(__xludf.DUMMYFUNCTION("""COMPUTED_VALUE"""),"")</f>
        <v/>
      </c>
      <c r="M471" s="3"/>
    </row>
    <row r="472">
      <c r="C472" s="3"/>
      <c r="D472" s="3"/>
      <c r="E472" s="3"/>
      <c r="F472" s="3"/>
      <c r="J472" s="3" t="str">
        <f>IFERROR(__xludf.DUMMYFUNCTION("""COMPUTED_VALUE"""),"")</f>
        <v/>
      </c>
      <c r="M472" s="3"/>
    </row>
    <row r="473">
      <c r="C473" s="3"/>
      <c r="D473" s="3"/>
      <c r="E473" s="3"/>
      <c r="F473" s="3"/>
      <c r="J473" s="3" t="str">
        <f>IFERROR(__xludf.DUMMYFUNCTION("""COMPUTED_VALUE"""),"")</f>
        <v/>
      </c>
      <c r="M473" s="3"/>
    </row>
    <row r="474">
      <c r="C474" s="3"/>
      <c r="D474" s="3"/>
      <c r="E474" s="3"/>
      <c r="F474" s="3"/>
      <c r="J474" s="3" t="str">
        <f>IFERROR(__xludf.DUMMYFUNCTION("""COMPUTED_VALUE"""),"")</f>
        <v/>
      </c>
      <c r="M474" s="3"/>
    </row>
    <row r="475">
      <c r="C475" s="3"/>
      <c r="D475" s="3"/>
      <c r="E475" s="3"/>
      <c r="F475" s="3"/>
      <c r="J475" s="3" t="str">
        <f>IFERROR(__xludf.DUMMYFUNCTION("""COMPUTED_VALUE"""),"")</f>
        <v/>
      </c>
      <c r="M475" s="3"/>
    </row>
    <row r="476">
      <c r="C476" s="3"/>
      <c r="D476" s="3"/>
      <c r="E476" s="3"/>
      <c r="F476" s="3"/>
      <c r="J476" s="3" t="str">
        <f>IFERROR(__xludf.DUMMYFUNCTION("""COMPUTED_VALUE"""),"")</f>
        <v/>
      </c>
      <c r="M476" s="3"/>
    </row>
    <row r="477">
      <c r="C477" s="3"/>
      <c r="D477" s="3"/>
      <c r="E477" s="3"/>
      <c r="F477" s="3"/>
      <c r="J477" s="3" t="str">
        <f>IFERROR(__xludf.DUMMYFUNCTION("""COMPUTED_VALUE"""),"")</f>
        <v/>
      </c>
      <c r="M477" s="3"/>
    </row>
    <row r="478">
      <c r="C478" s="3"/>
      <c r="D478" s="3"/>
      <c r="E478" s="3"/>
      <c r="F478" s="3"/>
      <c r="J478" s="3" t="str">
        <f>IFERROR(__xludf.DUMMYFUNCTION("""COMPUTED_VALUE"""),"")</f>
        <v/>
      </c>
      <c r="M478" s="3"/>
    </row>
    <row r="479">
      <c r="C479" s="3"/>
      <c r="D479" s="3"/>
      <c r="E479" s="3"/>
      <c r="F479" s="3"/>
      <c r="J479" s="3" t="str">
        <f>IFERROR(__xludf.DUMMYFUNCTION("""COMPUTED_VALUE"""),"")</f>
        <v/>
      </c>
      <c r="M479" s="3"/>
    </row>
    <row r="480">
      <c r="C480" s="3"/>
      <c r="D480" s="3"/>
      <c r="E480" s="3"/>
      <c r="F480" s="3"/>
      <c r="J480" s="3" t="str">
        <f>IFERROR(__xludf.DUMMYFUNCTION("""COMPUTED_VALUE"""),"")</f>
        <v/>
      </c>
      <c r="M480" s="3"/>
    </row>
    <row r="481">
      <c r="C481" s="3"/>
      <c r="D481" s="3"/>
      <c r="E481" s="3"/>
      <c r="F481" s="3"/>
      <c r="J481" s="3" t="str">
        <f>IFERROR(__xludf.DUMMYFUNCTION("""COMPUTED_VALUE"""),"")</f>
        <v/>
      </c>
      <c r="M481" s="3"/>
    </row>
    <row r="482">
      <c r="C482" s="3"/>
      <c r="D482" s="3"/>
      <c r="E482" s="3"/>
      <c r="F482" s="3"/>
      <c r="J482" s="3" t="str">
        <f>IFERROR(__xludf.DUMMYFUNCTION("""COMPUTED_VALUE"""),"")</f>
        <v/>
      </c>
      <c r="M482" s="3"/>
    </row>
    <row r="483">
      <c r="C483" s="3"/>
      <c r="D483" s="3"/>
      <c r="E483" s="3"/>
      <c r="F483" s="3"/>
      <c r="J483" s="3" t="str">
        <f>IFERROR(__xludf.DUMMYFUNCTION("""COMPUTED_VALUE"""),"")</f>
        <v/>
      </c>
      <c r="M483" s="3"/>
    </row>
    <row r="484">
      <c r="C484" s="3"/>
      <c r="D484" s="3"/>
      <c r="E484" s="3"/>
      <c r="F484" s="3"/>
      <c r="J484" s="3" t="str">
        <f>IFERROR(__xludf.DUMMYFUNCTION("""COMPUTED_VALUE"""),"")</f>
        <v/>
      </c>
      <c r="M484" s="3"/>
    </row>
    <row r="485">
      <c r="C485" s="3"/>
      <c r="D485" s="3"/>
      <c r="E485" s="3"/>
      <c r="F485" s="3"/>
      <c r="J485" s="3" t="str">
        <f>IFERROR(__xludf.DUMMYFUNCTION("""COMPUTED_VALUE"""),"")</f>
        <v/>
      </c>
      <c r="M485" s="3"/>
    </row>
    <row r="486">
      <c r="C486" s="3"/>
      <c r="D486" s="3"/>
      <c r="E486" s="3"/>
      <c r="F486" s="3"/>
      <c r="J486" s="3" t="str">
        <f>IFERROR(__xludf.DUMMYFUNCTION("""COMPUTED_VALUE"""),"")</f>
        <v/>
      </c>
      <c r="M486" s="3"/>
    </row>
    <row r="487">
      <c r="C487" s="3"/>
      <c r="D487" s="3"/>
      <c r="E487" s="3"/>
      <c r="F487" s="3"/>
      <c r="J487" s="3" t="str">
        <f>IFERROR(__xludf.DUMMYFUNCTION("""COMPUTED_VALUE"""),"")</f>
        <v/>
      </c>
      <c r="M487" s="3"/>
    </row>
    <row r="488">
      <c r="C488" s="3"/>
      <c r="D488" s="3"/>
      <c r="E488" s="3"/>
      <c r="F488" s="3"/>
      <c r="J488" s="3" t="str">
        <f>IFERROR(__xludf.DUMMYFUNCTION("""COMPUTED_VALUE"""),"")</f>
        <v/>
      </c>
      <c r="M488" s="3"/>
    </row>
    <row r="489">
      <c r="C489" s="3"/>
      <c r="D489" s="3"/>
      <c r="E489" s="3"/>
      <c r="F489" s="3"/>
      <c r="J489" s="3" t="str">
        <f>IFERROR(__xludf.DUMMYFUNCTION("""COMPUTED_VALUE"""),"")</f>
        <v/>
      </c>
      <c r="M489" s="3"/>
    </row>
    <row r="490">
      <c r="C490" s="3"/>
      <c r="D490" s="3"/>
      <c r="E490" s="3"/>
      <c r="F490" s="3"/>
      <c r="J490" s="3" t="str">
        <f>IFERROR(__xludf.DUMMYFUNCTION("""COMPUTED_VALUE"""),"")</f>
        <v/>
      </c>
      <c r="M490" s="3"/>
    </row>
    <row r="491">
      <c r="C491" s="3"/>
      <c r="D491" s="3"/>
      <c r="E491" s="3"/>
      <c r="F491" s="3"/>
      <c r="J491" s="3" t="str">
        <f>IFERROR(__xludf.DUMMYFUNCTION("""COMPUTED_VALUE"""),"")</f>
        <v/>
      </c>
      <c r="M491" s="3"/>
    </row>
    <row r="492">
      <c r="C492" s="3"/>
      <c r="D492" s="3"/>
      <c r="E492" s="3"/>
      <c r="F492" s="3"/>
      <c r="J492" s="3" t="str">
        <f>IFERROR(__xludf.DUMMYFUNCTION("""COMPUTED_VALUE"""),"")</f>
        <v/>
      </c>
      <c r="M492" s="3"/>
    </row>
    <row r="493">
      <c r="C493" s="3"/>
      <c r="D493" s="3"/>
      <c r="E493" s="3"/>
      <c r="F493" s="3"/>
      <c r="J493" s="3" t="str">
        <f>IFERROR(__xludf.DUMMYFUNCTION("""COMPUTED_VALUE"""),"")</f>
        <v/>
      </c>
      <c r="M493" s="3"/>
    </row>
    <row r="494">
      <c r="C494" s="3"/>
      <c r="D494" s="3"/>
      <c r="E494" s="3"/>
      <c r="F494" s="3"/>
      <c r="J494" s="3" t="str">
        <f>IFERROR(__xludf.DUMMYFUNCTION("""COMPUTED_VALUE"""),"")</f>
        <v/>
      </c>
      <c r="M494" s="3"/>
    </row>
    <row r="495">
      <c r="C495" s="3"/>
      <c r="D495" s="3"/>
      <c r="E495" s="3"/>
      <c r="F495" s="3"/>
      <c r="J495" s="3" t="str">
        <f>IFERROR(__xludf.DUMMYFUNCTION("""COMPUTED_VALUE"""),"")</f>
        <v/>
      </c>
      <c r="M495" s="3"/>
    </row>
    <row r="496">
      <c r="C496" s="3"/>
      <c r="D496" s="3"/>
      <c r="E496" s="3"/>
      <c r="F496" s="3"/>
      <c r="J496" s="3" t="str">
        <f>IFERROR(__xludf.DUMMYFUNCTION("""COMPUTED_VALUE"""),"")</f>
        <v/>
      </c>
      <c r="M496" s="3"/>
    </row>
    <row r="497">
      <c r="C497" s="3"/>
      <c r="D497" s="3"/>
      <c r="E497" s="3"/>
      <c r="F497" s="3"/>
      <c r="J497" s="3" t="str">
        <f>IFERROR(__xludf.DUMMYFUNCTION("""COMPUTED_VALUE"""),"")</f>
        <v/>
      </c>
      <c r="M497" s="3"/>
    </row>
    <row r="498">
      <c r="C498" s="3"/>
      <c r="D498" s="3"/>
      <c r="E498" s="3"/>
      <c r="F498" s="3"/>
      <c r="J498" s="3" t="str">
        <f>IFERROR(__xludf.DUMMYFUNCTION("""COMPUTED_VALUE"""),"")</f>
        <v/>
      </c>
      <c r="M498" s="3"/>
    </row>
    <row r="499">
      <c r="C499" s="3"/>
      <c r="D499" s="3"/>
      <c r="E499" s="3"/>
      <c r="F499" s="3"/>
      <c r="J499" s="3" t="str">
        <f>IFERROR(__xludf.DUMMYFUNCTION("""COMPUTED_VALUE"""),"")</f>
        <v/>
      </c>
      <c r="M499" s="3"/>
    </row>
    <row r="500">
      <c r="C500" s="3"/>
      <c r="D500" s="3"/>
      <c r="E500" s="3"/>
      <c r="F500" s="3"/>
      <c r="J500" s="3" t="str">
        <f>IFERROR(__xludf.DUMMYFUNCTION("""COMPUTED_VALUE"""),"")</f>
        <v/>
      </c>
      <c r="M500" s="3"/>
    </row>
    <row r="501">
      <c r="C501" s="3"/>
      <c r="D501" s="3"/>
      <c r="E501" s="3"/>
      <c r="F501" s="3"/>
      <c r="J501" s="3" t="str">
        <f>IFERROR(__xludf.DUMMYFUNCTION("""COMPUTED_VALUE"""),"")</f>
        <v/>
      </c>
      <c r="M501" s="3"/>
    </row>
    <row r="502">
      <c r="C502" s="3"/>
      <c r="D502" s="3"/>
      <c r="E502" s="3"/>
      <c r="F502" s="3"/>
      <c r="J502" s="3" t="str">
        <f>IFERROR(__xludf.DUMMYFUNCTION("""COMPUTED_VALUE"""),"")</f>
        <v/>
      </c>
      <c r="M502" s="3"/>
    </row>
    <row r="503">
      <c r="C503" s="3"/>
      <c r="D503" s="3"/>
      <c r="E503" s="3"/>
      <c r="F503" s="3"/>
      <c r="J503" s="3" t="str">
        <f>IFERROR(__xludf.DUMMYFUNCTION("""COMPUTED_VALUE"""),"")</f>
        <v/>
      </c>
      <c r="M503" s="3"/>
    </row>
    <row r="504">
      <c r="C504" s="3"/>
      <c r="D504" s="3"/>
      <c r="E504" s="3"/>
      <c r="F504" s="3"/>
      <c r="J504" s="3" t="str">
        <f>IFERROR(__xludf.DUMMYFUNCTION("""COMPUTED_VALUE"""),"")</f>
        <v/>
      </c>
      <c r="M504" s="3"/>
    </row>
    <row r="505">
      <c r="C505" s="3"/>
      <c r="D505" s="3"/>
      <c r="E505" s="3"/>
      <c r="F505" s="3"/>
      <c r="J505" s="3" t="str">
        <f>IFERROR(__xludf.DUMMYFUNCTION("""COMPUTED_VALUE"""),"")</f>
        <v/>
      </c>
      <c r="M505" s="3"/>
    </row>
    <row r="506">
      <c r="C506" s="3"/>
      <c r="D506" s="3"/>
      <c r="E506" s="3"/>
      <c r="F506" s="3"/>
      <c r="J506" s="3" t="str">
        <f>IFERROR(__xludf.DUMMYFUNCTION("""COMPUTED_VALUE"""),"")</f>
        <v/>
      </c>
      <c r="M506" s="3"/>
    </row>
    <row r="507">
      <c r="C507" s="3"/>
      <c r="D507" s="3"/>
      <c r="E507" s="3"/>
      <c r="F507" s="3"/>
      <c r="J507" s="3" t="str">
        <f>IFERROR(__xludf.DUMMYFUNCTION("""COMPUTED_VALUE"""),"")</f>
        <v/>
      </c>
      <c r="M507" s="3"/>
    </row>
    <row r="508">
      <c r="C508" s="3"/>
      <c r="D508" s="3"/>
      <c r="E508" s="3"/>
      <c r="F508" s="3"/>
      <c r="J508" s="3" t="str">
        <f>IFERROR(__xludf.DUMMYFUNCTION("""COMPUTED_VALUE"""),"")</f>
        <v/>
      </c>
      <c r="M508" s="3"/>
    </row>
    <row r="509">
      <c r="C509" s="3"/>
      <c r="D509" s="3"/>
      <c r="E509" s="3"/>
      <c r="F509" s="3"/>
      <c r="J509" s="3" t="str">
        <f>IFERROR(__xludf.DUMMYFUNCTION("""COMPUTED_VALUE"""),"")</f>
        <v/>
      </c>
      <c r="M509" s="3"/>
    </row>
    <row r="510">
      <c r="C510" s="3"/>
      <c r="D510" s="3"/>
      <c r="E510" s="3"/>
      <c r="F510" s="3"/>
      <c r="J510" s="3" t="str">
        <f>IFERROR(__xludf.DUMMYFUNCTION("""COMPUTED_VALUE"""),"")</f>
        <v/>
      </c>
      <c r="M510" s="3"/>
    </row>
    <row r="511">
      <c r="C511" s="3"/>
      <c r="D511" s="3"/>
      <c r="E511" s="3"/>
      <c r="F511" s="3"/>
      <c r="J511" s="3" t="str">
        <f>IFERROR(__xludf.DUMMYFUNCTION("""COMPUTED_VALUE"""),"")</f>
        <v/>
      </c>
      <c r="M511" s="3"/>
    </row>
    <row r="512">
      <c r="C512" s="3"/>
      <c r="D512" s="3"/>
      <c r="E512" s="3"/>
      <c r="F512" s="3"/>
      <c r="J512" s="3" t="str">
        <f>IFERROR(__xludf.DUMMYFUNCTION("""COMPUTED_VALUE"""),"")</f>
        <v/>
      </c>
      <c r="M512" s="3"/>
    </row>
    <row r="513">
      <c r="C513" s="3"/>
      <c r="D513" s="3"/>
      <c r="E513" s="3"/>
      <c r="F513" s="3"/>
      <c r="J513" s="3" t="str">
        <f>IFERROR(__xludf.DUMMYFUNCTION("""COMPUTED_VALUE"""),"")</f>
        <v/>
      </c>
      <c r="M513" s="3"/>
    </row>
    <row r="514">
      <c r="C514" s="3"/>
      <c r="D514" s="3"/>
      <c r="E514" s="3"/>
      <c r="F514" s="3"/>
      <c r="J514" s="3" t="str">
        <f>IFERROR(__xludf.DUMMYFUNCTION("""COMPUTED_VALUE"""),"")</f>
        <v/>
      </c>
      <c r="M514" s="3"/>
    </row>
    <row r="515">
      <c r="C515" s="3"/>
      <c r="D515" s="3"/>
      <c r="E515" s="3"/>
      <c r="F515" s="3"/>
      <c r="J515" s="3" t="str">
        <f>IFERROR(__xludf.DUMMYFUNCTION("""COMPUTED_VALUE"""),"")</f>
        <v/>
      </c>
      <c r="M515" s="3"/>
    </row>
    <row r="516">
      <c r="C516" s="3"/>
      <c r="D516" s="3"/>
      <c r="E516" s="3"/>
      <c r="F516" s="3"/>
      <c r="J516" s="3" t="str">
        <f>IFERROR(__xludf.DUMMYFUNCTION("""COMPUTED_VALUE"""),"")</f>
        <v/>
      </c>
      <c r="M516" s="3"/>
    </row>
    <row r="517">
      <c r="C517" s="3"/>
      <c r="D517" s="3"/>
      <c r="E517" s="3"/>
      <c r="F517" s="3"/>
      <c r="J517" s="3" t="str">
        <f>IFERROR(__xludf.DUMMYFUNCTION("""COMPUTED_VALUE"""),"")</f>
        <v/>
      </c>
      <c r="M517" s="3"/>
    </row>
    <row r="518">
      <c r="C518" s="3"/>
      <c r="D518" s="3"/>
      <c r="E518" s="3"/>
      <c r="F518" s="3"/>
      <c r="J518" s="3" t="str">
        <f>IFERROR(__xludf.DUMMYFUNCTION("""COMPUTED_VALUE"""),"")</f>
        <v/>
      </c>
      <c r="M518" s="3"/>
    </row>
    <row r="519">
      <c r="C519" s="3"/>
      <c r="D519" s="3"/>
      <c r="E519" s="3"/>
      <c r="F519" s="3"/>
      <c r="J519" s="3" t="str">
        <f>IFERROR(__xludf.DUMMYFUNCTION("""COMPUTED_VALUE"""),"")</f>
        <v/>
      </c>
      <c r="M519" s="3"/>
    </row>
    <row r="520">
      <c r="C520" s="3"/>
      <c r="D520" s="3"/>
      <c r="E520" s="3"/>
      <c r="F520" s="3"/>
      <c r="J520" s="3" t="str">
        <f>IFERROR(__xludf.DUMMYFUNCTION("""COMPUTED_VALUE"""),"")</f>
        <v/>
      </c>
      <c r="M520" s="3"/>
    </row>
    <row r="521">
      <c r="C521" s="3"/>
      <c r="D521" s="3"/>
      <c r="E521" s="3"/>
      <c r="F521" s="3"/>
      <c r="J521" s="3" t="str">
        <f>IFERROR(__xludf.DUMMYFUNCTION("""COMPUTED_VALUE"""),"")</f>
        <v/>
      </c>
      <c r="M521" s="3"/>
    </row>
    <row r="522">
      <c r="C522" s="3"/>
      <c r="D522" s="3"/>
      <c r="E522" s="3"/>
      <c r="F522" s="3"/>
      <c r="J522" s="3" t="str">
        <f>IFERROR(__xludf.DUMMYFUNCTION("""COMPUTED_VALUE"""),"")</f>
        <v/>
      </c>
      <c r="M522" s="3"/>
    </row>
    <row r="523">
      <c r="C523" s="3"/>
      <c r="D523" s="3"/>
      <c r="E523" s="3"/>
      <c r="F523" s="3"/>
      <c r="J523" s="3" t="str">
        <f>IFERROR(__xludf.DUMMYFUNCTION("""COMPUTED_VALUE"""),"")</f>
        <v/>
      </c>
      <c r="M523" s="3"/>
    </row>
    <row r="524">
      <c r="C524" s="3"/>
      <c r="D524" s="3"/>
      <c r="E524" s="3"/>
      <c r="F524" s="3"/>
      <c r="J524" s="3" t="str">
        <f>IFERROR(__xludf.DUMMYFUNCTION("""COMPUTED_VALUE"""),"")</f>
        <v/>
      </c>
      <c r="M524" s="3"/>
    </row>
    <row r="525">
      <c r="C525" s="3"/>
      <c r="D525" s="3"/>
      <c r="E525" s="3"/>
      <c r="F525" s="3"/>
      <c r="J525" s="3" t="str">
        <f>IFERROR(__xludf.DUMMYFUNCTION("""COMPUTED_VALUE"""),"")</f>
        <v/>
      </c>
      <c r="M525" s="3"/>
    </row>
    <row r="526">
      <c r="C526" s="3"/>
      <c r="D526" s="3"/>
      <c r="E526" s="3"/>
      <c r="F526" s="3"/>
      <c r="J526" s="3" t="str">
        <f>IFERROR(__xludf.DUMMYFUNCTION("""COMPUTED_VALUE"""),"")</f>
        <v/>
      </c>
      <c r="M526" s="3"/>
    </row>
    <row r="527">
      <c r="C527" s="3"/>
      <c r="D527" s="3"/>
      <c r="E527" s="3"/>
      <c r="F527" s="3"/>
      <c r="J527" s="3" t="str">
        <f>IFERROR(__xludf.DUMMYFUNCTION("""COMPUTED_VALUE"""),"")</f>
        <v/>
      </c>
      <c r="M527" s="3"/>
    </row>
    <row r="528">
      <c r="C528" s="3"/>
      <c r="D528" s="3"/>
      <c r="E528" s="3"/>
      <c r="F528" s="3"/>
      <c r="J528" s="3" t="str">
        <f>IFERROR(__xludf.DUMMYFUNCTION("""COMPUTED_VALUE"""),"")</f>
        <v/>
      </c>
      <c r="M528" s="3"/>
    </row>
    <row r="529">
      <c r="C529" s="3"/>
      <c r="D529" s="3"/>
      <c r="E529" s="3"/>
      <c r="F529" s="3"/>
      <c r="J529" s="3" t="str">
        <f>IFERROR(__xludf.DUMMYFUNCTION("""COMPUTED_VALUE"""),"")</f>
        <v/>
      </c>
      <c r="M529" s="3"/>
    </row>
    <row r="530">
      <c r="C530" s="3"/>
      <c r="D530" s="3"/>
      <c r="E530" s="3"/>
      <c r="F530" s="3"/>
      <c r="J530" s="3" t="str">
        <f>IFERROR(__xludf.DUMMYFUNCTION("""COMPUTED_VALUE"""),"")</f>
        <v/>
      </c>
      <c r="M530" s="3"/>
    </row>
    <row r="531">
      <c r="C531" s="3"/>
      <c r="D531" s="3"/>
      <c r="E531" s="3"/>
      <c r="F531" s="3"/>
      <c r="J531" s="3" t="str">
        <f>IFERROR(__xludf.DUMMYFUNCTION("""COMPUTED_VALUE"""),"")</f>
        <v/>
      </c>
      <c r="M531" s="3"/>
    </row>
    <row r="532">
      <c r="C532" s="3"/>
      <c r="D532" s="3"/>
      <c r="E532" s="3"/>
      <c r="F532" s="3"/>
      <c r="J532" s="3" t="str">
        <f>IFERROR(__xludf.DUMMYFUNCTION("""COMPUTED_VALUE"""),"")</f>
        <v/>
      </c>
      <c r="M532" s="3"/>
    </row>
    <row r="533">
      <c r="C533" s="3"/>
      <c r="D533" s="3"/>
      <c r="E533" s="3"/>
      <c r="F533" s="3"/>
      <c r="J533" s="3" t="str">
        <f>IFERROR(__xludf.DUMMYFUNCTION("""COMPUTED_VALUE"""),"")</f>
        <v/>
      </c>
      <c r="M533" s="3"/>
    </row>
    <row r="534">
      <c r="C534" s="3"/>
      <c r="D534" s="3"/>
      <c r="E534" s="3"/>
      <c r="F534" s="3"/>
      <c r="J534" s="3" t="str">
        <f>IFERROR(__xludf.DUMMYFUNCTION("""COMPUTED_VALUE"""),"")</f>
        <v/>
      </c>
      <c r="M534" s="3"/>
    </row>
    <row r="535">
      <c r="C535" s="3"/>
      <c r="D535" s="3"/>
      <c r="E535" s="3"/>
      <c r="F535" s="3"/>
      <c r="J535" s="3" t="str">
        <f>IFERROR(__xludf.DUMMYFUNCTION("""COMPUTED_VALUE"""),"")</f>
        <v/>
      </c>
      <c r="M535" s="3"/>
    </row>
    <row r="536">
      <c r="C536" s="3"/>
      <c r="D536" s="3"/>
      <c r="E536" s="3"/>
      <c r="F536" s="3"/>
      <c r="J536" s="3" t="str">
        <f>IFERROR(__xludf.DUMMYFUNCTION("""COMPUTED_VALUE"""),"")</f>
        <v/>
      </c>
      <c r="M536" s="3"/>
    </row>
    <row r="537">
      <c r="C537" s="3"/>
      <c r="D537" s="3"/>
      <c r="E537" s="3"/>
      <c r="F537" s="3"/>
      <c r="J537" s="3" t="str">
        <f>IFERROR(__xludf.DUMMYFUNCTION("""COMPUTED_VALUE"""),"")</f>
        <v/>
      </c>
      <c r="M537" s="3"/>
    </row>
    <row r="538">
      <c r="C538" s="3"/>
      <c r="D538" s="3"/>
      <c r="E538" s="3"/>
      <c r="F538" s="3"/>
      <c r="J538" s="3" t="str">
        <f>IFERROR(__xludf.DUMMYFUNCTION("""COMPUTED_VALUE"""),"")</f>
        <v/>
      </c>
      <c r="M538" s="3"/>
    </row>
    <row r="539">
      <c r="C539" s="3"/>
      <c r="D539" s="3"/>
      <c r="E539" s="3"/>
      <c r="F539" s="3"/>
      <c r="J539" s="3" t="str">
        <f>IFERROR(__xludf.DUMMYFUNCTION("""COMPUTED_VALUE"""),"")</f>
        <v/>
      </c>
      <c r="M539" s="3"/>
    </row>
    <row r="540">
      <c r="C540" s="3"/>
      <c r="D540" s="3"/>
      <c r="E540" s="3"/>
      <c r="F540" s="3"/>
      <c r="J540" s="3" t="str">
        <f>IFERROR(__xludf.DUMMYFUNCTION("""COMPUTED_VALUE"""),"")</f>
        <v/>
      </c>
      <c r="M540" s="3"/>
    </row>
    <row r="541">
      <c r="C541" s="3"/>
      <c r="D541" s="3"/>
      <c r="E541" s="3"/>
      <c r="F541" s="3"/>
      <c r="J541" s="3" t="str">
        <f>IFERROR(__xludf.DUMMYFUNCTION("""COMPUTED_VALUE"""),"")</f>
        <v/>
      </c>
      <c r="M541" s="3"/>
    </row>
    <row r="542">
      <c r="C542" s="3"/>
      <c r="D542" s="3"/>
      <c r="E542" s="3"/>
      <c r="F542" s="3"/>
      <c r="J542" s="3" t="str">
        <f>IFERROR(__xludf.DUMMYFUNCTION("""COMPUTED_VALUE"""),"")</f>
        <v/>
      </c>
      <c r="M542" s="3"/>
    </row>
    <row r="543">
      <c r="C543" s="3"/>
      <c r="D543" s="3"/>
      <c r="E543" s="3"/>
      <c r="F543" s="3"/>
      <c r="J543" s="3" t="str">
        <f>IFERROR(__xludf.DUMMYFUNCTION("""COMPUTED_VALUE"""),"")</f>
        <v/>
      </c>
      <c r="M543" s="3"/>
    </row>
    <row r="544">
      <c r="C544" s="3"/>
      <c r="D544" s="3"/>
      <c r="E544" s="3"/>
      <c r="F544" s="3"/>
      <c r="J544" s="3" t="str">
        <f>IFERROR(__xludf.DUMMYFUNCTION("""COMPUTED_VALUE"""),"")</f>
        <v/>
      </c>
      <c r="M544" s="3"/>
    </row>
    <row r="545">
      <c r="C545" s="3"/>
      <c r="D545" s="3"/>
      <c r="E545" s="3"/>
      <c r="F545" s="3"/>
      <c r="J545" s="3" t="str">
        <f>IFERROR(__xludf.DUMMYFUNCTION("""COMPUTED_VALUE"""),"")</f>
        <v/>
      </c>
      <c r="M545" s="3"/>
    </row>
    <row r="546">
      <c r="C546" s="3"/>
      <c r="D546" s="3"/>
      <c r="E546" s="3"/>
      <c r="F546" s="3"/>
      <c r="J546" s="3" t="str">
        <f>IFERROR(__xludf.DUMMYFUNCTION("""COMPUTED_VALUE"""),"")</f>
        <v/>
      </c>
      <c r="M546" s="3"/>
    </row>
    <row r="547">
      <c r="C547" s="3"/>
      <c r="D547" s="3"/>
      <c r="E547" s="3"/>
      <c r="F547" s="3"/>
      <c r="J547" s="3" t="str">
        <f>IFERROR(__xludf.DUMMYFUNCTION("""COMPUTED_VALUE"""),"")</f>
        <v/>
      </c>
      <c r="M547" s="3"/>
    </row>
    <row r="548">
      <c r="C548" s="3"/>
      <c r="D548" s="3"/>
      <c r="E548" s="3"/>
      <c r="F548" s="3"/>
      <c r="J548" s="3" t="str">
        <f>IFERROR(__xludf.DUMMYFUNCTION("""COMPUTED_VALUE"""),"")</f>
        <v/>
      </c>
      <c r="M548" s="3"/>
    </row>
    <row r="549">
      <c r="C549" s="3"/>
      <c r="D549" s="3"/>
      <c r="E549" s="3"/>
      <c r="F549" s="3"/>
      <c r="J549" s="3" t="str">
        <f>IFERROR(__xludf.DUMMYFUNCTION("""COMPUTED_VALUE"""),"")</f>
        <v/>
      </c>
      <c r="M549" s="3"/>
    </row>
    <row r="550">
      <c r="C550" s="3"/>
      <c r="D550" s="3"/>
      <c r="E550" s="3"/>
      <c r="F550" s="3"/>
      <c r="J550" s="3" t="str">
        <f>IFERROR(__xludf.DUMMYFUNCTION("""COMPUTED_VALUE"""),"")</f>
        <v/>
      </c>
      <c r="M550" s="3"/>
    </row>
    <row r="551">
      <c r="C551" s="3"/>
      <c r="D551" s="3"/>
      <c r="E551" s="3"/>
      <c r="F551" s="3"/>
      <c r="J551" s="3" t="str">
        <f>IFERROR(__xludf.DUMMYFUNCTION("""COMPUTED_VALUE"""),"")</f>
        <v/>
      </c>
      <c r="M551" s="3"/>
    </row>
    <row r="552">
      <c r="C552" s="3"/>
      <c r="D552" s="3"/>
      <c r="E552" s="3"/>
      <c r="F552" s="3"/>
      <c r="J552" s="3" t="str">
        <f>IFERROR(__xludf.DUMMYFUNCTION("""COMPUTED_VALUE"""),"")</f>
        <v/>
      </c>
      <c r="M552" s="3"/>
    </row>
    <row r="553">
      <c r="C553" s="3"/>
      <c r="D553" s="3"/>
      <c r="E553" s="3"/>
      <c r="F553" s="3"/>
      <c r="J553" s="3" t="str">
        <f>IFERROR(__xludf.DUMMYFUNCTION("""COMPUTED_VALUE"""),"")</f>
        <v/>
      </c>
      <c r="M553" s="3"/>
    </row>
    <row r="554">
      <c r="C554" s="3"/>
      <c r="D554" s="3"/>
      <c r="E554" s="3"/>
      <c r="F554" s="3"/>
      <c r="J554" s="3" t="str">
        <f>IFERROR(__xludf.DUMMYFUNCTION("""COMPUTED_VALUE"""),"")</f>
        <v/>
      </c>
      <c r="M554" s="3"/>
    </row>
    <row r="555">
      <c r="C555" s="3"/>
      <c r="D555" s="3"/>
      <c r="E555" s="3"/>
      <c r="F555" s="3"/>
      <c r="J555" s="3" t="str">
        <f>IFERROR(__xludf.DUMMYFUNCTION("""COMPUTED_VALUE"""),"")</f>
        <v/>
      </c>
      <c r="M555" s="3"/>
    </row>
    <row r="556">
      <c r="C556" s="3"/>
      <c r="D556" s="3"/>
      <c r="E556" s="3"/>
      <c r="F556" s="3"/>
      <c r="J556" s="3" t="str">
        <f>IFERROR(__xludf.DUMMYFUNCTION("""COMPUTED_VALUE"""),"")</f>
        <v/>
      </c>
      <c r="M556" s="3"/>
    </row>
    <row r="557">
      <c r="C557" s="3"/>
      <c r="D557" s="3"/>
      <c r="E557" s="3"/>
      <c r="F557" s="3"/>
      <c r="J557" s="3" t="str">
        <f>IFERROR(__xludf.DUMMYFUNCTION("""COMPUTED_VALUE"""),"")</f>
        <v/>
      </c>
      <c r="M557" s="3"/>
    </row>
    <row r="558">
      <c r="C558" s="3"/>
      <c r="D558" s="3"/>
      <c r="E558" s="3"/>
      <c r="F558" s="3"/>
      <c r="J558" s="3" t="str">
        <f>IFERROR(__xludf.DUMMYFUNCTION("""COMPUTED_VALUE"""),"")</f>
        <v/>
      </c>
      <c r="M558" s="3"/>
    </row>
    <row r="559">
      <c r="C559" s="3"/>
      <c r="D559" s="3"/>
      <c r="E559" s="3"/>
      <c r="F559" s="3"/>
      <c r="J559" s="3" t="str">
        <f>IFERROR(__xludf.DUMMYFUNCTION("""COMPUTED_VALUE"""),"")</f>
        <v/>
      </c>
      <c r="M559" s="3"/>
    </row>
    <row r="560">
      <c r="C560" s="3"/>
      <c r="D560" s="3"/>
      <c r="E560" s="3"/>
      <c r="F560" s="3"/>
      <c r="J560" s="3" t="str">
        <f>IFERROR(__xludf.DUMMYFUNCTION("""COMPUTED_VALUE"""),"")</f>
        <v/>
      </c>
      <c r="M560" s="3"/>
    </row>
    <row r="561">
      <c r="C561" s="3"/>
      <c r="D561" s="3"/>
      <c r="E561" s="3"/>
      <c r="F561" s="3"/>
      <c r="J561" s="3" t="str">
        <f>IFERROR(__xludf.DUMMYFUNCTION("""COMPUTED_VALUE"""),"")</f>
        <v/>
      </c>
      <c r="M561" s="3"/>
    </row>
    <row r="562">
      <c r="C562" s="3"/>
      <c r="D562" s="3"/>
      <c r="E562" s="3"/>
      <c r="F562" s="3"/>
      <c r="J562" s="3" t="str">
        <f>IFERROR(__xludf.DUMMYFUNCTION("""COMPUTED_VALUE"""),"")</f>
        <v/>
      </c>
      <c r="M562" s="3"/>
    </row>
    <row r="563">
      <c r="C563" s="3"/>
      <c r="D563" s="3"/>
      <c r="E563" s="3"/>
      <c r="F563" s="3"/>
      <c r="J563" s="3" t="str">
        <f>IFERROR(__xludf.DUMMYFUNCTION("""COMPUTED_VALUE"""),"")</f>
        <v/>
      </c>
      <c r="M563" s="3"/>
    </row>
    <row r="564">
      <c r="C564" s="3"/>
      <c r="D564" s="3"/>
      <c r="E564" s="3"/>
      <c r="F564" s="3"/>
      <c r="J564" s="3" t="str">
        <f>IFERROR(__xludf.DUMMYFUNCTION("""COMPUTED_VALUE"""),"")</f>
        <v/>
      </c>
      <c r="M564" s="3"/>
    </row>
    <row r="565">
      <c r="C565" s="3"/>
      <c r="D565" s="3"/>
      <c r="E565" s="3"/>
      <c r="F565" s="3"/>
      <c r="J565" s="3" t="str">
        <f>IFERROR(__xludf.DUMMYFUNCTION("""COMPUTED_VALUE"""),"")</f>
        <v/>
      </c>
      <c r="M565" s="3"/>
    </row>
    <row r="566">
      <c r="C566" s="3"/>
      <c r="D566" s="3"/>
      <c r="E566" s="3"/>
      <c r="F566" s="3"/>
      <c r="J566" s="3" t="str">
        <f>IFERROR(__xludf.DUMMYFUNCTION("""COMPUTED_VALUE"""),"")</f>
        <v/>
      </c>
      <c r="M566" s="3"/>
    </row>
    <row r="567">
      <c r="C567" s="3"/>
      <c r="D567" s="3"/>
      <c r="E567" s="3"/>
      <c r="F567" s="3"/>
      <c r="J567" s="3" t="str">
        <f>IFERROR(__xludf.DUMMYFUNCTION("""COMPUTED_VALUE"""),"")</f>
        <v/>
      </c>
      <c r="M567" s="3"/>
    </row>
    <row r="568">
      <c r="C568" s="3"/>
      <c r="D568" s="3"/>
      <c r="E568" s="3"/>
      <c r="F568" s="3"/>
      <c r="J568" s="3" t="str">
        <f>IFERROR(__xludf.DUMMYFUNCTION("""COMPUTED_VALUE"""),"")</f>
        <v/>
      </c>
      <c r="M568" s="3"/>
    </row>
    <row r="569">
      <c r="C569" s="3"/>
      <c r="D569" s="3"/>
      <c r="E569" s="3"/>
      <c r="F569" s="3"/>
      <c r="J569" s="3" t="str">
        <f>IFERROR(__xludf.DUMMYFUNCTION("""COMPUTED_VALUE"""),"")</f>
        <v/>
      </c>
      <c r="M569" s="3"/>
    </row>
    <row r="570">
      <c r="C570" s="3"/>
      <c r="D570" s="3"/>
      <c r="E570" s="3"/>
      <c r="F570" s="3"/>
      <c r="J570" s="3" t="str">
        <f>IFERROR(__xludf.DUMMYFUNCTION("""COMPUTED_VALUE"""),"")</f>
        <v/>
      </c>
      <c r="M570" s="3"/>
    </row>
    <row r="571">
      <c r="C571" s="3"/>
      <c r="D571" s="3"/>
      <c r="E571" s="3"/>
      <c r="F571" s="3"/>
      <c r="J571" s="3" t="str">
        <f>IFERROR(__xludf.DUMMYFUNCTION("""COMPUTED_VALUE"""),"")</f>
        <v/>
      </c>
      <c r="M571" s="3"/>
    </row>
    <row r="572">
      <c r="C572" s="3"/>
      <c r="D572" s="3"/>
      <c r="E572" s="3"/>
      <c r="F572" s="3"/>
      <c r="J572" s="3" t="str">
        <f>IFERROR(__xludf.DUMMYFUNCTION("""COMPUTED_VALUE"""),"")</f>
        <v/>
      </c>
      <c r="M572" s="3"/>
    </row>
    <row r="573">
      <c r="C573" s="3"/>
      <c r="D573" s="3"/>
      <c r="E573" s="3"/>
      <c r="F573" s="3"/>
      <c r="J573" s="3" t="str">
        <f>IFERROR(__xludf.DUMMYFUNCTION("""COMPUTED_VALUE"""),"")</f>
        <v/>
      </c>
      <c r="M573" s="3"/>
    </row>
    <row r="574">
      <c r="C574" s="3"/>
      <c r="D574" s="3"/>
      <c r="E574" s="3"/>
      <c r="F574" s="3"/>
      <c r="J574" s="3" t="str">
        <f>IFERROR(__xludf.DUMMYFUNCTION("""COMPUTED_VALUE"""),"")</f>
        <v/>
      </c>
      <c r="M574" s="3"/>
    </row>
    <row r="575">
      <c r="C575" s="3"/>
      <c r="D575" s="3"/>
      <c r="E575" s="3"/>
      <c r="F575" s="3"/>
      <c r="J575" s="3" t="str">
        <f>IFERROR(__xludf.DUMMYFUNCTION("""COMPUTED_VALUE"""),"")</f>
        <v/>
      </c>
      <c r="M575" s="3"/>
    </row>
    <row r="576">
      <c r="C576" s="3"/>
      <c r="D576" s="3"/>
      <c r="E576" s="3"/>
      <c r="F576" s="3"/>
      <c r="J576" s="3" t="str">
        <f>IFERROR(__xludf.DUMMYFUNCTION("""COMPUTED_VALUE"""),"")</f>
        <v/>
      </c>
      <c r="M576" s="3"/>
    </row>
    <row r="577">
      <c r="C577" s="3"/>
      <c r="D577" s="3"/>
      <c r="E577" s="3"/>
      <c r="F577" s="3"/>
      <c r="J577" s="3" t="str">
        <f>IFERROR(__xludf.DUMMYFUNCTION("""COMPUTED_VALUE"""),"")</f>
        <v/>
      </c>
      <c r="M577" s="3"/>
    </row>
    <row r="578">
      <c r="C578" s="3"/>
      <c r="D578" s="3"/>
      <c r="E578" s="3"/>
      <c r="F578" s="3"/>
      <c r="J578" s="3" t="str">
        <f>IFERROR(__xludf.DUMMYFUNCTION("""COMPUTED_VALUE"""),"")</f>
        <v/>
      </c>
      <c r="M578" s="3"/>
    </row>
    <row r="579">
      <c r="C579" s="3"/>
      <c r="D579" s="3"/>
      <c r="E579" s="3"/>
      <c r="F579" s="3"/>
      <c r="J579" s="3" t="str">
        <f>IFERROR(__xludf.DUMMYFUNCTION("""COMPUTED_VALUE"""),"")</f>
        <v/>
      </c>
      <c r="M579" s="3"/>
    </row>
    <row r="580">
      <c r="C580" s="3"/>
      <c r="D580" s="3"/>
      <c r="E580" s="3"/>
      <c r="F580" s="3"/>
      <c r="J580" s="3" t="str">
        <f>IFERROR(__xludf.DUMMYFUNCTION("""COMPUTED_VALUE"""),"")</f>
        <v/>
      </c>
      <c r="M580" s="3"/>
    </row>
    <row r="581">
      <c r="C581" s="3"/>
      <c r="D581" s="3"/>
      <c r="E581" s="3"/>
      <c r="F581" s="3"/>
      <c r="J581" s="3" t="str">
        <f>IFERROR(__xludf.DUMMYFUNCTION("""COMPUTED_VALUE"""),"")</f>
        <v/>
      </c>
      <c r="M581" s="3"/>
    </row>
    <row r="582">
      <c r="C582" s="3"/>
      <c r="D582" s="3"/>
      <c r="E582" s="3"/>
      <c r="F582" s="3"/>
      <c r="J582" s="3" t="str">
        <f>IFERROR(__xludf.DUMMYFUNCTION("""COMPUTED_VALUE"""),"")</f>
        <v/>
      </c>
      <c r="M582" s="3"/>
    </row>
    <row r="583">
      <c r="C583" s="3"/>
      <c r="D583" s="3"/>
      <c r="E583" s="3"/>
      <c r="F583" s="3"/>
      <c r="J583" s="3" t="str">
        <f>IFERROR(__xludf.DUMMYFUNCTION("""COMPUTED_VALUE"""),"")</f>
        <v/>
      </c>
      <c r="M583" s="3"/>
    </row>
    <row r="584">
      <c r="C584" s="3"/>
      <c r="D584" s="3"/>
      <c r="E584" s="3"/>
      <c r="F584" s="3"/>
      <c r="J584" s="3" t="str">
        <f>IFERROR(__xludf.DUMMYFUNCTION("""COMPUTED_VALUE"""),"")</f>
        <v/>
      </c>
      <c r="M584" s="3"/>
    </row>
    <row r="585">
      <c r="C585" s="3"/>
      <c r="D585" s="3"/>
      <c r="E585" s="3"/>
      <c r="F585" s="3"/>
      <c r="J585" s="3" t="str">
        <f>IFERROR(__xludf.DUMMYFUNCTION("""COMPUTED_VALUE"""),"")</f>
        <v/>
      </c>
      <c r="M585" s="3"/>
    </row>
    <row r="586">
      <c r="C586" s="3"/>
      <c r="D586" s="3"/>
      <c r="E586" s="3"/>
      <c r="F586" s="3"/>
      <c r="J586" s="3" t="str">
        <f>IFERROR(__xludf.DUMMYFUNCTION("""COMPUTED_VALUE"""),"")</f>
        <v/>
      </c>
      <c r="M586" s="3"/>
    </row>
    <row r="587">
      <c r="C587" s="3"/>
      <c r="D587" s="3"/>
      <c r="E587" s="3"/>
      <c r="F587" s="3"/>
      <c r="J587" s="3" t="str">
        <f>IFERROR(__xludf.DUMMYFUNCTION("""COMPUTED_VALUE"""),"")</f>
        <v/>
      </c>
      <c r="M587" s="3"/>
    </row>
    <row r="588">
      <c r="C588" s="3"/>
      <c r="D588" s="3"/>
      <c r="E588" s="3"/>
      <c r="F588" s="3"/>
      <c r="J588" s="3" t="str">
        <f>IFERROR(__xludf.DUMMYFUNCTION("""COMPUTED_VALUE"""),"")</f>
        <v/>
      </c>
      <c r="M588" s="3"/>
    </row>
    <row r="589">
      <c r="C589" s="3"/>
      <c r="D589" s="3"/>
      <c r="E589" s="3"/>
      <c r="F589" s="3"/>
      <c r="J589" s="3" t="str">
        <f>IFERROR(__xludf.DUMMYFUNCTION("""COMPUTED_VALUE"""),"")</f>
        <v/>
      </c>
      <c r="M589" s="3"/>
    </row>
    <row r="590">
      <c r="C590" s="3"/>
      <c r="D590" s="3"/>
      <c r="E590" s="3"/>
      <c r="F590" s="3"/>
      <c r="J590" s="3" t="str">
        <f>IFERROR(__xludf.DUMMYFUNCTION("""COMPUTED_VALUE"""),"")</f>
        <v/>
      </c>
      <c r="M590" s="3"/>
    </row>
    <row r="591">
      <c r="C591" s="3"/>
      <c r="D591" s="3"/>
      <c r="E591" s="3"/>
      <c r="F591" s="3"/>
      <c r="J591" s="3" t="str">
        <f>IFERROR(__xludf.DUMMYFUNCTION("""COMPUTED_VALUE"""),"")</f>
        <v/>
      </c>
      <c r="M591" s="3"/>
    </row>
    <row r="592">
      <c r="C592" s="3"/>
      <c r="D592" s="3"/>
      <c r="E592" s="3"/>
      <c r="F592" s="3"/>
      <c r="J592" s="3" t="str">
        <f>IFERROR(__xludf.DUMMYFUNCTION("""COMPUTED_VALUE"""),"")</f>
        <v/>
      </c>
      <c r="M592" s="3"/>
    </row>
    <row r="593">
      <c r="C593" s="3"/>
      <c r="D593" s="3"/>
      <c r="E593" s="3"/>
      <c r="F593" s="3"/>
      <c r="J593" s="3" t="str">
        <f>IFERROR(__xludf.DUMMYFUNCTION("""COMPUTED_VALUE"""),"")</f>
        <v/>
      </c>
      <c r="M593" s="3"/>
    </row>
    <row r="594">
      <c r="C594" s="3"/>
      <c r="D594" s="3"/>
      <c r="E594" s="3"/>
      <c r="F594" s="3"/>
      <c r="J594" s="3" t="str">
        <f>IFERROR(__xludf.DUMMYFUNCTION("""COMPUTED_VALUE"""),"")</f>
        <v/>
      </c>
      <c r="M594" s="3"/>
    </row>
    <row r="595">
      <c r="C595" s="3"/>
      <c r="D595" s="3"/>
      <c r="E595" s="3"/>
      <c r="F595" s="3"/>
      <c r="J595" s="3" t="str">
        <f>IFERROR(__xludf.DUMMYFUNCTION("""COMPUTED_VALUE"""),"")</f>
        <v/>
      </c>
      <c r="M595" s="3"/>
    </row>
    <row r="596">
      <c r="C596" s="3"/>
      <c r="D596" s="3"/>
      <c r="E596" s="3"/>
      <c r="F596" s="3"/>
      <c r="J596" s="3" t="str">
        <f>IFERROR(__xludf.DUMMYFUNCTION("""COMPUTED_VALUE"""),"")</f>
        <v/>
      </c>
      <c r="M596" s="3"/>
    </row>
    <row r="597">
      <c r="C597" s="3"/>
      <c r="D597" s="3"/>
      <c r="E597" s="3"/>
      <c r="F597" s="3"/>
      <c r="J597" s="3" t="str">
        <f>IFERROR(__xludf.DUMMYFUNCTION("""COMPUTED_VALUE"""),"")</f>
        <v/>
      </c>
      <c r="M597" s="3"/>
    </row>
    <row r="598">
      <c r="C598" s="3"/>
      <c r="D598" s="3"/>
      <c r="E598" s="3"/>
      <c r="F598" s="3"/>
      <c r="J598" s="3" t="str">
        <f>IFERROR(__xludf.DUMMYFUNCTION("""COMPUTED_VALUE"""),"")</f>
        <v/>
      </c>
      <c r="M598" s="3"/>
    </row>
    <row r="599">
      <c r="C599" s="3"/>
      <c r="D599" s="3"/>
      <c r="E599" s="3"/>
      <c r="F599" s="3"/>
      <c r="J599" s="3" t="str">
        <f>IFERROR(__xludf.DUMMYFUNCTION("""COMPUTED_VALUE"""),"")</f>
        <v/>
      </c>
      <c r="M599" s="3"/>
    </row>
    <row r="600">
      <c r="C600" s="3"/>
      <c r="D600" s="3"/>
      <c r="E600" s="3"/>
      <c r="F600" s="3"/>
      <c r="J600" s="3" t="str">
        <f>IFERROR(__xludf.DUMMYFUNCTION("""COMPUTED_VALUE"""),"")</f>
        <v/>
      </c>
      <c r="M600" s="3"/>
    </row>
    <row r="601">
      <c r="C601" s="3"/>
      <c r="D601" s="3"/>
      <c r="E601" s="3"/>
      <c r="F601" s="3"/>
      <c r="J601" s="3" t="str">
        <f>IFERROR(__xludf.DUMMYFUNCTION("""COMPUTED_VALUE"""),"")</f>
        <v/>
      </c>
      <c r="M601" s="3"/>
    </row>
    <row r="602">
      <c r="C602" s="3"/>
      <c r="D602" s="3"/>
      <c r="E602" s="3"/>
      <c r="F602" s="3"/>
      <c r="J602" s="3" t="str">
        <f>IFERROR(__xludf.DUMMYFUNCTION("""COMPUTED_VALUE"""),"")</f>
        <v/>
      </c>
      <c r="M602" s="3"/>
    </row>
    <row r="603">
      <c r="C603" s="3"/>
      <c r="D603" s="3"/>
      <c r="E603" s="3"/>
      <c r="F603" s="3"/>
      <c r="J603" s="3" t="str">
        <f>IFERROR(__xludf.DUMMYFUNCTION("""COMPUTED_VALUE"""),"")</f>
        <v/>
      </c>
      <c r="M603" s="3"/>
    </row>
    <row r="604">
      <c r="C604" s="3"/>
      <c r="D604" s="3"/>
      <c r="E604" s="3"/>
      <c r="F604" s="3"/>
      <c r="J604" s="3" t="str">
        <f>IFERROR(__xludf.DUMMYFUNCTION("""COMPUTED_VALUE"""),"")</f>
        <v/>
      </c>
      <c r="M604" s="3"/>
    </row>
    <row r="605">
      <c r="C605" s="3"/>
      <c r="D605" s="3"/>
      <c r="E605" s="3"/>
      <c r="F605" s="3"/>
      <c r="J605" s="3" t="str">
        <f>IFERROR(__xludf.DUMMYFUNCTION("""COMPUTED_VALUE"""),"")</f>
        <v/>
      </c>
      <c r="M605" s="3"/>
    </row>
    <row r="606">
      <c r="C606" s="3"/>
      <c r="D606" s="3"/>
      <c r="E606" s="3"/>
      <c r="F606" s="3"/>
      <c r="J606" s="3" t="str">
        <f>IFERROR(__xludf.DUMMYFUNCTION("""COMPUTED_VALUE"""),"")</f>
        <v/>
      </c>
      <c r="M606" s="3"/>
    </row>
    <row r="607">
      <c r="C607" s="3"/>
      <c r="D607" s="3"/>
      <c r="E607" s="3"/>
      <c r="F607" s="3"/>
      <c r="J607" s="3" t="str">
        <f>IFERROR(__xludf.DUMMYFUNCTION("""COMPUTED_VALUE"""),"")</f>
        <v/>
      </c>
      <c r="M607" s="3"/>
    </row>
    <row r="608">
      <c r="C608" s="3"/>
      <c r="D608" s="3"/>
      <c r="E608" s="3"/>
      <c r="F608" s="3"/>
      <c r="J608" s="3" t="str">
        <f>IFERROR(__xludf.DUMMYFUNCTION("""COMPUTED_VALUE"""),"")</f>
        <v/>
      </c>
      <c r="M608" s="3"/>
    </row>
    <row r="609">
      <c r="C609" s="3"/>
      <c r="D609" s="3"/>
      <c r="E609" s="3"/>
      <c r="F609" s="3"/>
      <c r="J609" s="3" t="str">
        <f>IFERROR(__xludf.DUMMYFUNCTION("""COMPUTED_VALUE"""),"")</f>
        <v/>
      </c>
      <c r="M609" s="3"/>
    </row>
    <row r="610">
      <c r="C610" s="3"/>
      <c r="D610" s="3"/>
      <c r="E610" s="3"/>
      <c r="F610" s="3"/>
      <c r="J610" s="3" t="str">
        <f>IFERROR(__xludf.DUMMYFUNCTION("""COMPUTED_VALUE"""),"")</f>
        <v/>
      </c>
      <c r="M610" s="3"/>
    </row>
    <row r="611">
      <c r="C611" s="3"/>
      <c r="D611" s="3"/>
      <c r="E611" s="3"/>
      <c r="F611" s="3"/>
      <c r="J611" s="3" t="str">
        <f>IFERROR(__xludf.DUMMYFUNCTION("""COMPUTED_VALUE"""),"")</f>
        <v/>
      </c>
      <c r="M611" s="3"/>
    </row>
    <row r="612">
      <c r="C612" s="3"/>
      <c r="D612" s="3"/>
      <c r="E612" s="3"/>
      <c r="F612" s="3"/>
      <c r="J612" s="3" t="str">
        <f>IFERROR(__xludf.DUMMYFUNCTION("""COMPUTED_VALUE"""),"")</f>
        <v/>
      </c>
      <c r="M612" s="3"/>
    </row>
    <row r="613">
      <c r="C613" s="3"/>
      <c r="D613" s="3"/>
      <c r="E613" s="3"/>
      <c r="F613" s="3"/>
      <c r="J613" s="3" t="str">
        <f>IFERROR(__xludf.DUMMYFUNCTION("""COMPUTED_VALUE"""),"")</f>
        <v/>
      </c>
      <c r="M613" s="3"/>
    </row>
    <row r="614">
      <c r="C614" s="3"/>
      <c r="D614" s="3"/>
      <c r="E614" s="3"/>
      <c r="F614" s="3"/>
      <c r="J614" s="3" t="str">
        <f>IFERROR(__xludf.DUMMYFUNCTION("""COMPUTED_VALUE"""),"")</f>
        <v/>
      </c>
      <c r="M614" s="3"/>
    </row>
    <row r="615">
      <c r="C615" s="3"/>
      <c r="D615" s="3"/>
      <c r="E615" s="3"/>
      <c r="F615" s="3"/>
      <c r="J615" s="3" t="str">
        <f>IFERROR(__xludf.DUMMYFUNCTION("""COMPUTED_VALUE"""),"")</f>
        <v/>
      </c>
      <c r="M615" s="3"/>
    </row>
    <row r="616">
      <c r="C616" s="3"/>
      <c r="D616" s="3"/>
      <c r="E616" s="3"/>
      <c r="F616" s="3"/>
      <c r="J616" s="3" t="str">
        <f>IFERROR(__xludf.DUMMYFUNCTION("""COMPUTED_VALUE"""),"")</f>
        <v/>
      </c>
      <c r="M616" s="3"/>
    </row>
    <row r="617">
      <c r="C617" s="3"/>
      <c r="D617" s="3"/>
      <c r="E617" s="3"/>
      <c r="F617" s="3"/>
      <c r="J617" s="3" t="str">
        <f>IFERROR(__xludf.DUMMYFUNCTION("""COMPUTED_VALUE"""),"")</f>
        <v/>
      </c>
      <c r="M617" s="3"/>
    </row>
    <row r="618">
      <c r="C618" s="3"/>
      <c r="D618" s="3"/>
      <c r="E618" s="3"/>
      <c r="F618" s="3"/>
      <c r="J618" s="3" t="str">
        <f>IFERROR(__xludf.DUMMYFUNCTION("""COMPUTED_VALUE"""),"")</f>
        <v/>
      </c>
      <c r="M618" s="3"/>
    </row>
    <row r="619">
      <c r="C619" s="3"/>
      <c r="D619" s="3"/>
      <c r="E619" s="3"/>
      <c r="F619" s="3"/>
      <c r="J619" s="3" t="str">
        <f>IFERROR(__xludf.DUMMYFUNCTION("""COMPUTED_VALUE"""),"")</f>
        <v/>
      </c>
      <c r="M619" s="3"/>
    </row>
    <row r="620">
      <c r="C620" s="3"/>
      <c r="D620" s="3"/>
      <c r="E620" s="3"/>
      <c r="F620" s="3"/>
      <c r="J620" s="3" t="str">
        <f>IFERROR(__xludf.DUMMYFUNCTION("""COMPUTED_VALUE"""),"")</f>
        <v/>
      </c>
      <c r="M620" s="3"/>
    </row>
    <row r="621">
      <c r="C621" s="3"/>
      <c r="D621" s="3"/>
      <c r="E621" s="3"/>
      <c r="F621" s="3"/>
      <c r="J621" s="3" t="str">
        <f>IFERROR(__xludf.DUMMYFUNCTION("""COMPUTED_VALUE"""),"")</f>
        <v/>
      </c>
      <c r="M621" s="3"/>
    </row>
    <row r="622">
      <c r="C622" s="3"/>
      <c r="D622" s="3"/>
      <c r="E622" s="3"/>
      <c r="F622" s="3"/>
      <c r="J622" s="3" t="str">
        <f>IFERROR(__xludf.DUMMYFUNCTION("""COMPUTED_VALUE"""),"")</f>
        <v/>
      </c>
      <c r="M622" s="3"/>
    </row>
    <row r="623">
      <c r="C623" s="3"/>
      <c r="D623" s="3"/>
      <c r="E623" s="3"/>
      <c r="F623" s="3"/>
      <c r="J623" s="3" t="str">
        <f>IFERROR(__xludf.DUMMYFUNCTION("""COMPUTED_VALUE"""),"")</f>
        <v/>
      </c>
      <c r="M623" s="3"/>
    </row>
    <row r="624">
      <c r="C624" s="3"/>
      <c r="D624" s="3"/>
      <c r="E624" s="3"/>
      <c r="F624" s="3"/>
      <c r="J624" s="3" t="str">
        <f>IFERROR(__xludf.DUMMYFUNCTION("""COMPUTED_VALUE"""),"")</f>
        <v/>
      </c>
      <c r="M624" s="3"/>
    </row>
    <row r="625">
      <c r="C625" s="3"/>
      <c r="D625" s="3"/>
      <c r="E625" s="3"/>
      <c r="F625" s="3"/>
      <c r="J625" s="3" t="str">
        <f>IFERROR(__xludf.DUMMYFUNCTION("""COMPUTED_VALUE"""),"")</f>
        <v/>
      </c>
      <c r="M625" s="3"/>
    </row>
    <row r="626">
      <c r="C626" s="3"/>
      <c r="D626" s="3"/>
      <c r="E626" s="3"/>
      <c r="F626" s="3"/>
      <c r="J626" s="3" t="str">
        <f>IFERROR(__xludf.DUMMYFUNCTION("""COMPUTED_VALUE"""),"")</f>
        <v/>
      </c>
      <c r="M626" s="3"/>
    </row>
    <row r="627">
      <c r="C627" s="3"/>
      <c r="D627" s="3"/>
      <c r="E627" s="3"/>
      <c r="F627" s="3"/>
      <c r="J627" s="3" t="str">
        <f>IFERROR(__xludf.DUMMYFUNCTION("""COMPUTED_VALUE"""),"")</f>
        <v/>
      </c>
      <c r="M627" s="3"/>
    </row>
    <row r="628">
      <c r="C628" s="3"/>
      <c r="D628" s="3"/>
      <c r="E628" s="3"/>
      <c r="F628" s="3"/>
      <c r="J628" s="3" t="str">
        <f>IFERROR(__xludf.DUMMYFUNCTION("""COMPUTED_VALUE"""),"")</f>
        <v/>
      </c>
      <c r="M628" s="3"/>
    </row>
    <row r="629">
      <c r="C629" s="3"/>
      <c r="D629" s="3"/>
      <c r="E629" s="3"/>
      <c r="F629" s="3"/>
      <c r="J629" s="3" t="str">
        <f>IFERROR(__xludf.DUMMYFUNCTION("""COMPUTED_VALUE"""),"")</f>
        <v/>
      </c>
      <c r="M629" s="3"/>
    </row>
    <row r="630">
      <c r="C630" s="3"/>
      <c r="D630" s="3"/>
      <c r="E630" s="3"/>
      <c r="F630" s="3"/>
      <c r="J630" s="3" t="str">
        <f>IFERROR(__xludf.DUMMYFUNCTION("""COMPUTED_VALUE"""),"")</f>
        <v/>
      </c>
      <c r="M630" s="3"/>
    </row>
    <row r="631">
      <c r="C631" s="3"/>
      <c r="D631" s="3"/>
      <c r="E631" s="3"/>
      <c r="F631" s="3"/>
      <c r="J631" s="3" t="str">
        <f>IFERROR(__xludf.DUMMYFUNCTION("""COMPUTED_VALUE"""),"")</f>
        <v/>
      </c>
      <c r="M631" s="3"/>
    </row>
    <row r="632">
      <c r="C632" s="3"/>
      <c r="D632" s="3"/>
      <c r="E632" s="3"/>
      <c r="F632" s="3"/>
      <c r="J632" s="3" t="str">
        <f>IFERROR(__xludf.DUMMYFUNCTION("""COMPUTED_VALUE"""),"")</f>
        <v/>
      </c>
      <c r="M632" s="3"/>
    </row>
    <row r="633">
      <c r="C633" s="3"/>
      <c r="D633" s="3"/>
      <c r="E633" s="3"/>
      <c r="F633" s="3"/>
      <c r="J633" s="3" t="str">
        <f>IFERROR(__xludf.DUMMYFUNCTION("""COMPUTED_VALUE"""),"")</f>
        <v/>
      </c>
      <c r="M633" s="3"/>
    </row>
    <row r="634">
      <c r="C634" s="3"/>
      <c r="D634" s="3"/>
      <c r="E634" s="3"/>
      <c r="F634" s="3"/>
      <c r="J634" s="3" t="str">
        <f>IFERROR(__xludf.DUMMYFUNCTION("""COMPUTED_VALUE"""),"")</f>
        <v/>
      </c>
      <c r="M634" s="3"/>
    </row>
    <row r="635">
      <c r="C635" s="3"/>
      <c r="D635" s="3"/>
      <c r="E635" s="3"/>
      <c r="F635" s="3"/>
      <c r="J635" s="3" t="str">
        <f>IFERROR(__xludf.DUMMYFUNCTION("""COMPUTED_VALUE"""),"")</f>
        <v/>
      </c>
      <c r="M635" s="3"/>
    </row>
    <row r="636">
      <c r="C636" s="3"/>
      <c r="D636" s="3"/>
      <c r="E636" s="3"/>
      <c r="F636" s="3"/>
      <c r="J636" s="3" t="str">
        <f>IFERROR(__xludf.DUMMYFUNCTION("""COMPUTED_VALUE"""),"")</f>
        <v/>
      </c>
      <c r="M636" s="3"/>
    </row>
    <row r="637">
      <c r="C637" s="3"/>
      <c r="D637" s="3"/>
      <c r="E637" s="3"/>
      <c r="F637" s="3"/>
      <c r="J637" s="3" t="str">
        <f>IFERROR(__xludf.DUMMYFUNCTION("""COMPUTED_VALUE"""),"")</f>
        <v/>
      </c>
      <c r="M637" s="3"/>
    </row>
    <row r="638">
      <c r="C638" s="3"/>
      <c r="D638" s="3"/>
      <c r="E638" s="3"/>
      <c r="F638" s="3"/>
      <c r="J638" s="3" t="str">
        <f>IFERROR(__xludf.DUMMYFUNCTION("""COMPUTED_VALUE"""),"")</f>
        <v/>
      </c>
      <c r="M638" s="3"/>
    </row>
    <row r="639">
      <c r="C639" s="3"/>
      <c r="D639" s="3"/>
      <c r="E639" s="3"/>
      <c r="F639" s="3"/>
      <c r="J639" s="3" t="str">
        <f>IFERROR(__xludf.DUMMYFUNCTION("""COMPUTED_VALUE"""),"")</f>
        <v/>
      </c>
      <c r="M639" s="3"/>
    </row>
    <row r="640">
      <c r="C640" s="3"/>
      <c r="D640" s="3"/>
      <c r="E640" s="3"/>
      <c r="F640" s="3"/>
      <c r="J640" s="3" t="str">
        <f>IFERROR(__xludf.DUMMYFUNCTION("""COMPUTED_VALUE"""),"")</f>
        <v/>
      </c>
      <c r="M640" s="3"/>
    </row>
    <row r="641">
      <c r="C641" s="3"/>
      <c r="D641" s="3"/>
      <c r="E641" s="3"/>
      <c r="F641" s="3"/>
      <c r="J641" s="3" t="str">
        <f>IFERROR(__xludf.DUMMYFUNCTION("""COMPUTED_VALUE"""),"")</f>
        <v/>
      </c>
      <c r="M641" s="3"/>
    </row>
    <row r="642">
      <c r="C642" s="3"/>
      <c r="D642" s="3"/>
      <c r="E642" s="3"/>
      <c r="F642" s="3"/>
      <c r="J642" s="3" t="str">
        <f>IFERROR(__xludf.DUMMYFUNCTION("""COMPUTED_VALUE"""),"")</f>
        <v/>
      </c>
      <c r="M642" s="3"/>
    </row>
    <row r="643">
      <c r="C643" s="3"/>
      <c r="D643" s="3"/>
      <c r="E643" s="3"/>
      <c r="F643" s="3"/>
      <c r="J643" s="3" t="str">
        <f>IFERROR(__xludf.DUMMYFUNCTION("""COMPUTED_VALUE"""),"")</f>
        <v/>
      </c>
      <c r="M643" s="3"/>
    </row>
    <row r="644">
      <c r="C644" s="3"/>
      <c r="D644" s="3"/>
      <c r="E644" s="3"/>
      <c r="F644" s="3"/>
      <c r="J644" s="3" t="str">
        <f>IFERROR(__xludf.DUMMYFUNCTION("""COMPUTED_VALUE"""),"")</f>
        <v/>
      </c>
      <c r="M644" s="3"/>
    </row>
    <row r="645">
      <c r="C645" s="3"/>
      <c r="D645" s="3"/>
      <c r="E645" s="3"/>
      <c r="F645" s="3"/>
      <c r="J645" s="3" t="str">
        <f>IFERROR(__xludf.DUMMYFUNCTION("""COMPUTED_VALUE"""),"")</f>
        <v/>
      </c>
      <c r="M645" s="3"/>
    </row>
    <row r="646">
      <c r="C646" s="3"/>
      <c r="D646" s="3"/>
      <c r="E646" s="3"/>
      <c r="F646" s="3"/>
      <c r="J646" s="3" t="str">
        <f>IFERROR(__xludf.DUMMYFUNCTION("""COMPUTED_VALUE"""),"")</f>
        <v/>
      </c>
      <c r="M646" s="3"/>
    </row>
    <row r="647">
      <c r="C647" s="3"/>
      <c r="D647" s="3"/>
      <c r="E647" s="3"/>
      <c r="F647" s="3"/>
      <c r="J647" s="3" t="str">
        <f>IFERROR(__xludf.DUMMYFUNCTION("""COMPUTED_VALUE"""),"")</f>
        <v/>
      </c>
      <c r="M647" s="3"/>
    </row>
    <row r="648">
      <c r="C648" s="3"/>
      <c r="D648" s="3"/>
      <c r="E648" s="3"/>
      <c r="F648" s="3"/>
      <c r="J648" s="3" t="str">
        <f>IFERROR(__xludf.DUMMYFUNCTION("""COMPUTED_VALUE"""),"")</f>
        <v/>
      </c>
      <c r="M648" s="3"/>
    </row>
    <row r="649">
      <c r="C649" s="3"/>
      <c r="D649" s="3"/>
      <c r="E649" s="3"/>
      <c r="F649" s="3"/>
      <c r="J649" s="3" t="str">
        <f>IFERROR(__xludf.DUMMYFUNCTION("""COMPUTED_VALUE"""),"")</f>
        <v/>
      </c>
      <c r="M649" s="3"/>
    </row>
    <row r="650">
      <c r="C650" s="3"/>
      <c r="D650" s="3"/>
      <c r="E650" s="3"/>
      <c r="F650" s="3"/>
      <c r="J650" s="3" t="str">
        <f>IFERROR(__xludf.DUMMYFUNCTION("""COMPUTED_VALUE"""),"")</f>
        <v/>
      </c>
      <c r="M650" s="3"/>
    </row>
    <row r="651">
      <c r="C651" s="3"/>
      <c r="D651" s="3"/>
      <c r="E651" s="3"/>
      <c r="F651" s="3"/>
      <c r="J651" s="3" t="str">
        <f>IFERROR(__xludf.DUMMYFUNCTION("""COMPUTED_VALUE"""),"")</f>
        <v/>
      </c>
      <c r="M651" s="3"/>
    </row>
    <row r="652">
      <c r="C652" s="3"/>
      <c r="D652" s="3"/>
      <c r="E652" s="3"/>
      <c r="F652" s="3"/>
      <c r="J652" s="3" t="str">
        <f>IFERROR(__xludf.DUMMYFUNCTION("""COMPUTED_VALUE"""),"")</f>
        <v/>
      </c>
      <c r="M652" s="3"/>
    </row>
    <row r="653">
      <c r="C653" s="3"/>
      <c r="D653" s="3"/>
      <c r="E653" s="3"/>
      <c r="F653" s="3"/>
      <c r="J653" s="3" t="str">
        <f>IFERROR(__xludf.DUMMYFUNCTION("""COMPUTED_VALUE"""),"")</f>
        <v/>
      </c>
      <c r="M653" s="3"/>
    </row>
    <row r="654">
      <c r="C654" s="3"/>
      <c r="D654" s="3"/>
      <c r="E654" s="3"/>
      <c r="F654" s="3"/>
      <c r="J654" s="3" t="str">
        <f>IFERROR(__xludf.DUMMYFUNCTION("""COMPUTED_VALUE"""),"")</f>
        <v/>
      </c>
      <c r="M654" s="3"/>
    </row>
    <row r="655">
      <c r="C655" s="3"/>
      <c r="D655" s="3"/>
      <c r="E655" s="3"/>
      <c r="F655" s="3"/>
      <c r="J655" s="3" t="str">
        <f>IFERROR(__xludf.DUMMYFUNCTION("""COMPUTED_VALUE"""),"")</f>
        <v/>
      </c>
      <c r="M655" s="3"/>
    </row>
    <row r="656">
      <c r="C656" s="3"/>
      <c r="D656" s="3"/>
      <c r="E656" s="3"/>
      <c r="F656" s="3"/>
      <c r="J656" s="3" t="str">
        <f>IFERROR(__xludf.DUMMYFUNCTION("""COMPUTED_VALUE"""),"")</f>
        <v/>
      </c>
      <c r="M656" s="3"/>
    </row>
    <row r="657">
      <c r="C657" s="3"/>
      <c r="D657" s="3"/>
      <c r="E657" s="3"/>
      <c r="F657" s="3"/>
      <c r="J657" s="3" t="str">
        <f>IFERROR(__xludf.DUMMYFUNCTION("""COMPUTED_VALUE"""),"")</f>
        <v/>
      </c>
      <c r="M657" s="3"/>
    </row>
    <row r="658">
      <c r="C658" s="3"/>
      <c r="D658" s="3"/>
      <c r="E658" s="3"/>
      <c r="F658" s="3"/>
      <c r="J658" s="3" t="str">
        <f>IFERROR(__xludf.DUMMYFUNCTION("""COMPUTED_VALUE"""),"")</f>
        <v/>
      </c>
      <c r="M658" s="3"/>
    </row>
    <row r="659">
      <c r="C659" s="3"/>
      <c r="D659" s="3"/>
      <c r="E659" s="3"/>
      <c r="F659" s="3"/>
      <c r="J659" s="3" t="str">
        <f>IFERROR(__xludf.DUMMYFUNCTION("""COMPUTED_VALUE"""),"")</f>
        <v/>
      </c>
      <c r="M659" s="3"/>
    </row>
    <row r="660">
      <c r="C660" s="3"/>
      <c r="D660" s="3"/>
      <c r="E660" s="3"/>
      <c r="F660" s="3"/>
      <c r="J660" s="3" t="str">
        <f>IFERROR(__xludf.DUMMYFUNCTION("""COMPUTED_VALUE"""),"")</f>
        <v/>
      </c>
      <c r="M660" s="3"/>
    </row>
    <row r="661">
      <c r="C661" s="3"/>
      <c r="D661" s="3"/>
      <c r="E661" s="3"/>
      <c r="F661" s="3"/>
      <c r="J661" s="3" t="str">
        <f>IFERROR(__xludf.DUMMYFUNCTION("""COMPUTED_VALUE"""),"")</f>
        <v/>
      </c>
      <c r="M661" s="3"/>
    </row>
    <row r="662">
      <c r="C662" s="3"/>
      <c r="D662" s="3"/>
      <c r="E662" s="3"/>
      <c r="F662" s="3"/>
      <c r="J662" s="3" t="str">
        <f>IFERROR(__xludf.DUMMYFUNCTION("""COMPUTED_VALUE"""),"")</f>
        <v/>
      </c>
      <c r="M662" s="3"/>
    </row>
    <row r="663">
      <c r="C663" s="3"/>
      <c r="D663" s="3"/>
      <c r="E663" s="3"/>
      <c r="F663" s="3"/>
      <c r="J663" s="3" t="str">
        <f>IFERROR(__xludf.DUMMYFUNCTION("""COMPUTED_VALUE"""),"")</f>
        <v/>
      </c>
      <c r="M663" s="3"/>
    </row>
    <row r="664">
      <c r="C664" s="3"/>
      <c r="D664" s="3"/>
      <c r="E664" s="3"/>
      <c r="F664" s="3"/>
      <c r="J664" s="3" t="str">
        <f>IFERROR(__xludf.DUMMYFUNCTION("""COMPUTED_VALUE"""),"")</f>
        <v/>
      </c>
      <c r="M664" s="3"/>
    </row>
    <row r="665">
      <c r="C665" s="3"/>
      <c r="D665" s="3"/>
      <c r="E665" s="3"/>
      <c r="F665" s="3"/>
      <c r="J665" s="3" t="str">
        <f>IFERROR(__xludf.DUMMYFUNCTION("""COMPUTED_VALUE"""),"")</f>
        <v/>
      </c>
      <c r="M665" s="3"/>
    </row>
    <row r="666">
      <c r="C666" s="3"/>
      <c r="D666" s="3"/>
      <c r="E666" s="3"/>
      <c r="F666" s="3"/>
      <c r="J666" s="3" t="str">
        <f>IFERROR(__xludf.DUMMYFUNCTION("""COMPUTED_VALUE"""),"")</f>
        <v/>
      </c>
      <c r="M666" s="3"/>
    </row>
    <row r="667">
      <c r="C667" s="3"/>
      <c r="D667" s="3"/>
      <c r="E667" s="3"/>
      <c r="F667" s="3"/>
      <c r="J667" s="3" t="str">
        <f>IFERROR(__xludf.DUMMYFUNCTION("""COMPUTED_VALUE"""),"")</f>
        <v/>
      </c>
      <c r="M667" s="3"/>
    </row>
    <row r="668">
      <c r="C668" s="3"/>
      <c r="D668" s="3"/>
      <c r="E668" s="3"/>
      <c r="F668" s="3"/>
      <c r="J668" s="3" t="str">
        <f>IFERROR(__xludf.DUMMYFUNCTION("""COMPUTED_VALUE"""),"")</f>
        <v/>
      </c>
      <c r="M668" s="3"/>
    </row>
    <row r="669">
      <c r="C669" s="3"/>
      <c r="D669" s="3"/>
      <c r="E669" s="3"/>
      <c r="F669" s="3"/>
      <c r="J669" s="3" t="str">
        <f>IFERROR(__xludf.DUMMYFUNCTION("""COMPUTED_VALUE"""),"")</f>
        <v/>
      </c>
      <c r="M669" s="3"/>
    </row>
    <row r="670">
      <c r="C670" s="3"/>
      <c r="D670" s="3"/>
      <c r="E670" s="3"/>
      <c r="F670" s="3"/>
      <c r="J670" s="3" t="str">
        <f>IFERROR(__xludf.DUMMYFUNCTION("""COMPUTED_VALUE"""),"")</f>
        <v/>
      </c>
      <c r="M670" s="3"/>
    </row>
    <row r="671">
      <c r="C671" s="3"/>
      <c r="D671" s="3"/>
      <c r="E671" s="3"/>
      <c r="F671" s="3"/>
      <c r="J671" s="3" t="str">
        <f>IFERROR(__xludf.DUMMYFUNCTION("""COMPUTED_VALUE"""),"")</f>
        <v/>
      </c>
      <c r="M671" s="3"/>
    </row>
    <row r="672">
      <c r="C672" s="3"/>
      <c r="D672" s="3"/>
      <c r="E672" s="3"/>
      <c r="F672" s="3"/>
      <c r="J672" s="3" t="str">
        <f>IFERROR(__xludf.DUMMYFUNCTION("""COMPUTED_VALUE"""),"")</f>
        <v/>
      </c>
      <c r="M672" s="3"/>
    </row>
    <row r="673">
      <c r="C673" s="3"/>
      <c r="D673" s="3"/>
      <c r="E673" s="3"/>
      <c r="F673" s="3"/>
      <c r="J673" s="3" t="str">
        <f>IFERROR(__xludf.DUMMYFUNCTION("""COMPUTED_VALUE"""),"")</f>
        <v/>
      </c>
      <c r="M673" s="3"/>
    </row>
    <row r="674">
      <c r="C674" s="3"/>
      <c r="D674" s="3"/>
      <c r="E674" s="3"/>
      <c r="F674" s="3"/>
      <c r="J674" s="3" t="str">
        <f>IFERROR(__xludf.DUMMYFUNCTION("""COMPUTED_VALUE"""),"")</f>
        <v/>
      </c>
      <c r="M674" s="3"/>
    </row>
    <row r="675">
      <c r="C675" s="3"/>
      <c r="D675" s="3"/>
      <c r="E675" s="3"/>
      <c r="F675" s="3"/>
      <c r="J675" s="3" t="str">
        <f>IFERROR(__xludf.DUMMYFUNCTION("""COMPUTED_VALUE"""),"")</f>
        <v/>
      </c>
      <c r="M675" s="3"/>
    </row>
    <row r="676">
      <c r="C676" s="3"/>
      <c r="D676" s="3"/>
      <c r="E676" s="3"/>
      <c r="F676" s="3"/>
      <c r="J676" s="3" t="str">
        <f>IFERROR(__xludf.DUMMYFUNCTION("""COMPUTED_VALUE"""),"")</f>
        <v/>
      </c>
      <c r="M676" s="3"/>
    </row>
    <row r="677">
      <c r="C677" s="3"/>
      <c r="D677" s="3"/>
      <c r="E677" s="3"/>
      <c r="F677" s="3"/>
      <c r="J677" s="3" t="str">
        <f>IFERROR(__xludf.DUMMYFUNCTION("""COMPUTED_VALUE"""),"")</f>
        <v/>
      </c>
      <c r="M677" s="3"/>
    </row>
    <row r="678">
      <c r="C678" s="3"/>
      <c r="D678" s="3"/>
      <c r="E678" s="3"/>
      <c r="F678" s="3"/>
      <c r="J678" s="3" t="str">
        <f>IFERROR(__xludf.DUMMYFUNCTION("""COMPUTED_VALUE"""),"")</f>
        <v/>
      </c>
      <c r="M678" s="3"/>
    </row>
    <row r="679">
      <c r="C679" s="3"/>
      <c r="D679" s="3"/>
      <c r="E679" s="3"/>
      <c r="F679" s="3"/>
      <c r="J679" s="3" t="str">
        <f>IFERROR(__xludf.DUMMYFUNCTION("""COMPUTED_VALUE"""),"")</f>
        <v/>
      </c>
      <c r="M679" s="3"/>
    </row>
    <row r="680">
      <c r="C680" s="3"/>
      <c r="D680" s="3"/>
      <c r="E680" s="3"/>
      <c r="F680" s="3"/>
      <c r="J680" s="3" t="str">
        <f>IFERROR(__xludf.DUMMYFUNCTION("""COMPUTED_VALUE"""),"")</f>
        <v/>
      </c>
      <c r="M680" s="3"/>
    </row>
    <row r="681">
      <c r="C681" s="3"/>
      <c r="D681" s="3"/>
      <c r="E681" s="3"/>
      <c r="F681" s="3"/>
      <c r="J681" s="3" t="str">
        <f>IFERROR(__xludf.DUMMYFUNCTION("""COMPUTED_VALUE"""),"")</f>
        <v/>
      </c>
      <c r="M681" s="3"/>
    </row>
    <row r="682">
      <c r="C682" s="3"/>
      <c r="D682" s="3"/>
      <c r="E682" s="3"/>
      <c r="F682" s="3"/>
      <c r="J682" s="3" t="str">
        <f>IFERROR(__xludf.DUMMYFUNCTION("""COMPUTED_VALUE"""),"")</f>
        <v/>
      </c>
      <c r="M682" s="3"/>
    </row>
    <row r="683">
      <c r="C683" s="3"/>
      <c r="D683" s="3"/>
      <c r="E683" s="3"/>
      <c r="F683" s="3"/>
      <c r="J683" s="3" t="str">
        <f>IFERROR(__xludf.DUMMYFUNCTION("""COMPUTED_VALUE"""),"")</f>
        <v/>
      </c>
      <c r="M683" s="3"/>
    </row>
    <row r="684">
      <c r="C684" s="3"/>
      <c r="D684" s="3"/>
      <c r="E684" s="3"/>
      <c r="F684" s="3"/>
      <c r="J684" s="3" t="str">
        <f>IFERROR(__xludf.DUMMYFUNCTION("""COMPUTED_VALUE"""),"")</f>
        <v/>
      </c>
      <c r="M684" s="3"/>
    </row>
    <row r="685">
      <c r="C685" s="3"/>
      <c r="D685" s="3"/>
      <c r="E685" s="3"/>
      <c r="F685" s="3"/>
      <c r="J685" s="3" t="str">
        <f>IFERROR(__xludf.DUMMYFUNCTION("""COMPUTED_VALUE"""),"")</f>
        <v/>
      </c>
      <c r="M685" s="3"/>
    </row>
    <row r="686">
      <c r="C686" s="3"/>
      <c r="D686" s="3"/>
      <c r="E686" s="3"/>
      <c r="F686" s="3"/>
      <c r="J686" s="3" t="str">
        <f>IFERROR(__xludf.DUMMYFUNCTION("""COMPUTED_VALUE"""),"")</f>
        <v/>
      </c>
      <c r="M686" s="3"/>
    </row>
    <row r="687">
      <c r="C687" s="3"/>
      <c r="D687" s="3"/>
      <c r="E687" s="3"/>
      <c r="F687" s="3"/>
      <c r="J687" s="3" t="str">
        <f>IFERROR(__xludf.DUMMYFUNCTION("""COMPUTED_VALUE"""),"")</f>
        <v/>
      </c>
      <c r="M687" s="3"/>
    </row>
    <row r="688">
      <c r="C688" s="3"/>
      <c r="D688" s="3"/>
      <c r="E688" s="3"/>
      <c r="F688" s="3"/>
      <c r="J688" s="3" t="str">
        <f>IFERROR(__xludf.DUMMYFUNCTION("""COMPUTED_VALUE"""),"")</f>
        <v/>
      </c>
      <c r="M688" s="3"/>
    </row>
    <row r="689">
      <c r="C689" s="3"/>
      <c r="D689" s="3"/>
      <c r="E689" s="3"/>
      <c r="F689" s="3"/>
      <c r="J689" s="3" t="str">
        <f>IFERROR(__xludf.DUMMYFUNCTION("""COMPUTED_VALUE"""),"")</f>
        <v/>
      </c>
      <c r="M689" s="3"/>
    </row>
    <row r="690">
      <c r="C690" s="3"/>
      <c r="D690" s="3"/>
      <c r="E690" s="3"/>
      <c r="F690" s="3"/>
      <c r="J690" s="3" t="str">
        <f>IFERROR(__xludf.DUMMYFUNCTION("""COMPUTED_VALUE"""),"")</f>
        <v/>
      </c>
      <c r="M690" s="3"/>
    </row>
    <row r="691">
      <c r="C691" s="3"/>
      <c r="D691" s="3"/>
      <c r="E691" s="3"/>
      <c r="F691" s="3"/>
      <c r="J691" s="3" t="str">
        <f>IFERROR(__xludf.DUMMYFUNCTION("""COMPUTED_VALUE"""),"")</f>
        <v/>
      </c>
      <c r="M691" s="3"/>
    </row>
    <row r="692">
      <c r="C692" s="3"/>
      <c r="D692" s="3"/>
      <c r="E692" s="3"/>
      <c r="F692" s="3"/>
      <c r="J692" s="3" t="str">
        <f>IFERROR(__xludf.DUMMYFUNCTION("""COMPUTED_VALUE"""),"")</f>
        <v/>
      </c>
      <c r="M692" s="3"/>
    </row>
    <row r="693">
      <c r="C693" s="3"/>
      <c r="D693" s="3"/>
      <c r="E693" s="3"/>
      <c r="F693" s="3"/>
      <c r="J693" s="3" t="str">
        <f>IFERROR(__xludf.DUMMYFUNCTION("""COMPUTED_VALUE"""),"")</f>
        <v/>
      </c>
      <c r="M693" s="3"/>
    </row>
    <row r="694">
      <c r="C694" s="3"/>
      <c r="D694" s="3"/>
      <c r="E694" s="3"/>
      <c r="F694" s="3"/>
      <c r="J694" s="3" t="str">
        <f>IFERROR(__xludf.DUMMYFUNCTION("""COMPUTED_VALUE"""),"")</f>
        <v/>
      </c>
      <c r="M694" s="3"/>
    </row>
    <row r="695">
      <c r="C695" s="3"/>
      <c r="D695" s="3"/>
      <c r="E695" s="3"/>
      <c r="F695" s="3"/>
      <c r="J695" s="3" t="str">
        <f>IFERROR(__xludf.DUMMYFUNCTION("""COMPUTED_VALUE"""),"")</f>
        <v/>
      </c>
      <c r="M695" s="3"/>
    </row>
    <row r="696">
      <c r="C696" s="3"/>
      <c r="D696" s="3"/>
      <c r="E696" s="3"/>
      <c r="F696" s="3"/>
      <c r="J696" s="3" t="str">
        <f>IFERROR(__xludf.DUMMYFUNCTION("""COMPUTED_VALUE"""),"")</f>
        <v/>
      </c>
      <c r="M696" s="3"/>
    </row>
    <row r="697">
      <c r="C697" s="3"/>
      <c r="D697" s="3"/>
      <c r="E697" s="3"/>
      <c r="F697" s="3"/>
      <c r="J697" s="3" t="str">
        <f>IFERROR(__xludf.DUMMYFUNCTION("""COMPUTED_VALUE"""),"")</f>
        <v/>
      </c>
      <c r="M697" s="3"/>
    </row>
    <row r="698">
      <c r="C698" s="3"/>
      <c r="D698" s="3"/>
      <c r="E698" s="3"/>
      <c r="F698" s="3"/>
      <c r="J698" s="3" t="str">
        <f>IFERROR(__xludf.DUMMYFUNCTION("""COMPUTED_VALUE"""),"")</f>
        <v/>
      </c>
      <c r="M698" s="3"/>
    </row>
    <row r="699">
      <c r="C699" s="3"/>
      <c r="D699" s="3"/>
      <c r="E699" s="3"/>
      <c r="F699" s="3"/>
      <c r="J699" s="3" t="str">
        <f>IFERROR(__xludf.DUMMYFUNCTION("""COMPUTED_VALUE"""),"")</f>
        <v/>
      </c>
      <c r="M699" s="3"/>
    </row>
    <row r="700">
      <c r="C700" s="3"/>
      <c r="D700" s="3"/>
      <c r="E700" s="3"/>
      <c r="F700" s="3"/>
      <c r="J700" s="3" t="str">
        <f>IFERROR(__xludf.DUMMYFUNCTION("""COMPUTED_VALUE"""),"")</f>
        <v/>
      </c>
      <c r="M700" s="3"/>
    </row>
    <row r="701">
      <c r="C701" s="3"/>
      <c r="D701" s="3"/>
      <c r="E701" s="3"/>
      <c r="F701" s="3"/>
      <c r="J701" s="3" t="str">
        <f>IFERROR(__xludf.DUMMYFUNCTION("""COMPUTED_VALUE"""),"")</f>
        <v/>
      </c>
      <c r="M701" s="3"/>
    </row>
    <row r="702">
      <c r="C702" s="3"/>
      <c r="D702" s="3"/>
      <c r="E702" s="3"/>
      <c r="F702" s="3"/>
      <c r="J702" s="3" t="str">
        <f>IFERROR(__xludf.DUMMYFUNCTION("""COMPUTED_VALUE"""),"")</f>
        <v/>
      </c>
      <c r="M702" s="3"/>
    </row>
    <row r="703">
      <c r="C703" s="3"/>
      <c r="D703" s="3"/>
      <c r="E703" s="3"/>
      <c r="F703" s="3"/>
      <c r="J703" s="3" t="str">
        <f>IFERROR(__xludf.DUMMYFUNCTION("""COMPUTED_VALUE"""),"")</f>
        <v/>
      </c>
      <c r="M703" s="3"/>
    </row>
    <row r="704">
      <c r="C704" s="3"/>
      <c r="D704" s="3"/>
      <c r="E704" s="3"/>
      <c r="F704" s="3"/>
      <c r="J704" s="3" t="str">
        <f>IFERROR(__xludf.DUMMYFUNCTION("""COMPUTED_VALUE"""),"")</f>
        <v/>
      </c>
      <c r="M704" s="3"/>
    </row>
    <row r="705">
      <c r="C705" s="3"/>
      <c r="D705" s="3"/>
      <c r="E705" s="3"/>
      <c r="F705" s="3"/>
      <c r="J705" s="3" t="str">
        <f>IFERROR(__xludf.DUMMYFUNCTION("""COMPUTED_VALUE"""),"")</f>
        <v/>
      </c>
      <c r="M705" s="3"/>
    </row>
    <row r="706">
      <c r="C706" s="3"/>
      <c r="D706" s="3"/>
      <c r="E706" s="3"/>
      <c r="F706" s="3"/>
      <c r="J706" s="3" t="str">
        <f>IFERROR(__xludf.DUMMYFUNCTION("""COMPUTED_VALUE"""),"")</f>
        <v/>
      </c>
      <c r="M706" s="3"/>
    </row>
    <row r="707">
      <c r="C707" s="3"/>
      <c r="D707" s="3"/>
      <c r="E707" s="3"/>
      <c r="F707" s="3"/>
      <c r="J707" s="3" t="str">
        <f>IFERROR(__xludf.DUMMYFUNCTION("""COMPUTED_VALUE"""),"")</f>
        <v/>
      </c>
      <c r="M707" s="3"/>
    </row>
    <row r="708">
      <c r="C708" s="3"/>
      <c r="D708" s="3"/>
      <c r="E708" s="3"/>
      <c r="F708" s="3"/>
      <c r="J708" s="3" t="str">
        <f>IFERROR(__xludf.DUMMYFUNCTION("""COMPUTED_VALUE"""),"")</f>
        <v/>
      </c>
      <c r="M708" s="3"/>
    </row>
    <row r="709">
      <c r="C709" s="3"/>
      <c r="D709" s="3"/>
      <c r="E709" s="3"/>
      <c r="F709" s="3"/>
      <c r="J709" s="3" t="str">
        <f>IFERROR(__xludf.DUMMYFUNCTION("""COMPUTED_VALUE"""),"")</f>
        <v/>
      </c>
      <c r="M709" s="3"/>
    </row>
    <row r="710">
      <c r="C710" s="3"/>
      <c r="D710" s="3"/>
      <c r="E710" s="3"/>
      <c r="F710" s="3"/>
      <c r="J710" s="3" t="str">
        <f>IFERROR(__xludf.DUMMYFUNCTION("""COMPUTED_VALUE"""),"")</f>
        <v/>
      </c>
      <c r="M710" s="3"/>
    </row>
    <row r="711">
      <c r="C711" s="3"/>
      <c r="D711" s="3"/>
      <c r="E711" s="3"/>
      <c r="F711" s="3"/>
      <c r="J711" s="3" t="str">
        <f>IFERROR(__xludf.DUMMYFUNCTION("""COMPUTED_VALUE"""),"")</f>
        <v/>
      </c>
      <c r="M711" s="3"/>
    </row>
    <row r="712">
      <c r="C712" s="3"/>
      <c r="D712" s="3"/>
      <c r="E712" s="3"/>
      <c r="F712" s="3"/>
      <c r="J712" s="3" t="str">
        <f>IFERROR(__xludf.DUMMYFUNCTION("""COMPUTED_VALUE"""),"")</f>
        <v/>
      </c>
      <c r="M712" s="3"/>
    </row>
    <row r="713">
      <c r="C713" s="3"/>
      <c r="D713" s="3"/>
      <c r="E713" s="3"/>
      <c r="F713" s="3"/>
      <c r="J713" s="3" t="str">
        <f>IFERROR(__xludf.DUMMYFUNCTION("""COMPUTED_VALUE"""),"")</f>
        <v/>
      </c>
      <c r="M713" s="3"/>
    </row>
    <row r="714">
      <c r="C714" s="3"/>
      <c r="D714" s="3"/>
      <c r="E714" s="3"/>
      <c r="F714" s="3"/>
      <c r="J714" s="3" t="str">
        <f>IFERROR(__xludf.DUMMYFUNCTION("""COMPUTED_VALUE"""),"")</f>
        <v/>
      </c>
      <c r="M714" s="3"/>
    </row>
    <row r="715">
      <c r="C715" s="3"/>
      <c r="D715" s="3"/>
      <c r="E715" s="3"/>
      <c r="F715" s="3"/>
      <c r="J715" s="3" t="str">
        <f>IFERROR(__xludf.DUMMYFUNCTION("""COMPUTED_VALUE"""),"")</f>
        <v/>
      </c>
      <c r="M715" s="3"/>
    </row>
    <row r="716">
      <c r="C716" s="3"/>
      <c r="D716" s="3"/>
      <c r="E716" s="3"/>
      <c r="F716" s="3"/>
      <c r="J716" s="3" t="str">
        <f>IFERROR(__xludf.DUMMYFUNCTION("""COMPUTED_VALUE"""),"")</f>
        <v/>
      </c>
      <c r="M716" s="3"/>
    </row>
    <row r="717">
      <c r="C717" s="3"/>
      <c r="D717" s="3"/>
      <c r="E717" s="3"/>
      <c r="F717" s="3"/>
      <c r="J717" s="3" t="str">
        <f>IFERROR(__xludf.DUMMYFUNCTION("""COMPUTED_VALUE"""),"")</f>
        <v/>
      </c>
      <c r="M717" s="3"/>
    </row>
    <row r="718">
      <c r="C718" s="3"/>
      <c r="D718" s="3"/>
      <c r="E718" s="3"/>
      <c r="F718" s="3"/>
      <c r="J718" s="3" t="str">
        <f>IFERROR(__xludf.DUMMYFUNCTION("""COMPUTED_VALUE"""),"")</f>
        <v/>
      </c>
      <c r="M718" s="3"/>
    </row>
    <row r="719">
      <c r="C719" s="3"/>
      <c r="D719" s="3"/>
      <c r="E719" s="3"/>
      <c r="F719" s="3"/>
      <c r="J719" s="3" t="str">
        <f>IFERROR(__xludf.DUMMYFUNCTION("""COMPUTED_VALUE"""),"")</f>
        <v/>
      </c>
      <c r="M719" s="3"/>
    </row>
    <row r="720">
      <c r="C720" s="3"/>
      <c r="D720" s="3"/>
      <c r="E720" s="3"/>
      <c r="F720" s="3"/>
      <c r="J720" s="3" t="str">
        <f>IFERROR(__xludf.DUMMYFUNCTION("""COMPUTED_VALUE"""),"")</f>
        <v/>
      </c>
      <c r="M720" s="3"/>
    </row>
    <row r="721">
      <c r="C721" s="3"/>
      <c r="D721" s="3"/>
      <c r="E721" s="3"/>
      <c r="F721" s="3"/>
      <c r="J721" s="3" t="str">
        <f>IFERROR(__xludf.DUMMYFUNCTION("""COMPUTED_VALUE"""),"")</f>
        <v/>
      </c>
      <c r="M721" s="3"/>
    </row>
    <row r="722">
      <c r="C722" s="3"/>
      <c r="D722" s="3"/>
      <c r="E722" s="3"/>
      <c r="F722" s="3"/>
      <c r="J722" s="3" t="str">
        <f>IFERROR(__xludf.DUMMYFUNCTION("""COMPUTED_VALUE"""),"")</f>
        <v/>
      </c>
      <c r="M722" s="3"/>
    </row>
    <row r="723">
      <c r="C723" s="3"/>
      <c r="D723" s="3"/>
      <c r="E723" s="3"/>
      <c r="F723" s="3"/>
      <c r="J723" s="3" t="str">
        <f>IFERROR(__xludf.DUMMYFUNCTION("""COMPUTED_VALUE"""),"")</f>
        <v/>
      </c>
      <c r="M723" s="3"/>
    </row>
    <row r="724">
      <c r="C724" s="3"/>
      <c r="D724" s="3"/>
      <c r="E724" s="3"/>
      <c r="F724" s="3"/>
      <c r="J724" s="3" t="str">
        <f>IFERROR(__xludf.DUMMYFUNCTION("""COMPUTED_VALUE"""),"")</f>
        <v/>
      </c>
      <c r="M724" s="3"/>
    </row>
    <row r="725">
      <c r="C725" s="3"/>
      <c r="D725" s="3"/>
      <c r="E725" s="3"/>
      <c r="F725" s="3"/>
      <c r="J725" s="3" t="str">
        <f>IFERROR(__xludf.DUMMYFUNCTION("""COMPUTED_VALUE"""),"")</f>
        <v/>
      </c>
      <c r="M725" s="3"/>
    </row>
    <row r="726">
      <c r="C726" s="3"/>
      <c r="D726" s="3"/>
      <c r="E726" s="3"/>
      <c r="F726" s="3"/>
      <c r="J726" s="3" t="str">
        <f>IFERROR(__xludf.DUMMYFUNCTION("""COMPUTED_VALUE"""),"")</f>
        <v/>
      </c>
      <c r="M726" s="3"/>
    </row>
    <row r="727">
      <c r="C727" s="3"/>
      <c r="D727" s="3"/>
      <c r="E727" s="3"/>
      <c r="F727" s="3"/>
      <c r="J727" s="3" t="str">
        <f>IFERROR(__xludf.DUMMYFUNCTION("""COMPUTED_VALUE"""),"")</f>
        <v/>
      </c>
      <c r="M727" s="3"/>
    </row>
    <row r="728">
      <c r="C728" s="3"/>
      <c r="D728" s="3"/>
      <c r="E728" s="3"/>
      <c r="F728" s="3"/>
      <c r="J728" s="3" t="str">
        <f>IFERROR(__xludf.DUMMYFUNCTION("""COMPUTED_VALUE"""),"")</f>
        <v/>
      </c>
      <c r="M728" s="3"/>
    </row>
    <row r="729">
      <c r="C729" s="3"/>
      <c r="D729" s="3"/>
      <c r="E729" s="3"/>
      <c r="F729" s="3"/>
      <c r="J729" s="3" t="str">
        <f>IFERROR(__xludf.DUMMYFUNCTION("""COMPUTED_VALUE"""),"")</f>
        <v/>
      </c>
      <c r="M729" s="3"/>
    </row>
    <row r="730">
      <c r="C730" s="3"/>
      <c r="D730" s="3"/>
      <c r="E730" s="3"/>
      <c r="F730" s="3"/>
      <c r="J730" s="3" t="str">
        <f>IFERROR(__xludf.DUMMYFUNCTION("""COMPUTED_VALUE"""),"")</f>
        <v/>
      </c>
      <c r="M730" s="3"/>
    </row>
    <row r="731">
      <c r="C731" s="3"/>
      <c r="D731" s="3"/>
      <c r="E731" s="3"/>
      <c r="F731" s="3"/>
      <c r="J731" s="3" t="str">
        <f>IFERROR(__xludf.DUMMYFUNCTION("""COMPUTED_VALUE"""),"")</f>
        <v/>
      </c>
      <c r="M731" s="3"/>
    </row>
    <row r="732">
      <c r="C732" s="3"/>
      <c r="D732" s="3"/>
      <c r="E732" s="3"/>
      <c r="F732" s="3"/>
      <c r="J732" s="3" t="str">
        <f>IFERROR(__xludf.DUMMYFUNCTION("""COMPUTED_VALUE"""),"")</f>
        <v/>
      </c>
      <c r="M732" s="3"/>
    </row>
    <row r="733">
      <c r="C733" s="3"/>
      <c r="D733" s="3"/>
      <c r="E733" s="3"/>
      <c r="F733" s="3"/>
      <c r="J733" s="3" t="str">
        <f>IFERROR(__xludf.DUMMYFUNCTION("""COMPUTED_VALUE"""),"")</f>
        <v/>
      </c>
      <c r="M733" s="3"/>
    </row>
    <row r="734">
      <c r="C734" s="3"/>
      <c r="D734" s="3"/>
      <c r="E734" s="3"/>
      <c r="F734" s="3"/>
      <c r="J734" s="3" t="str">
        <f>IFERROR(__xludf.DUMMYFUNCTION("""COMPUTED_VALUE"""),"")</f>
        <v/>
      </c>
      <c r="M734" s="3"/>
    </row>
    <row r="735">
      <c r="C735" s="3"/>
      <c r="D735" s="3"/>
      <c r="E735" s="3"/>
      <c r="F735" s="3"/>
      <c r="J735" s="3" t="str">
        <f>IFERROR(__xludf.DUMMYFUNCTION("""COMPUTED_VALUE"""),"")</f>
        <v/>
      </c>
      <c r="M735" s="3"/>
    </row>
    <row r="736">
      <c r="C736" s="3"/>
      <c r="D736" s="3"/>
      <c r="E736" s="3"/>
      <c r="F736" s="3"/>
      <c r="J736" s="3" t="str">
        <f>IFERROR(__xludf.DUMMYFUNCTION("""COMPUTED_VALUE"""),"")</f>
        <v/>
      </c>
      <c r="M736" s="3"/>
    </row>
    <row r="737">
      <c r="C737" s="3"/>
      <c r="D737" s="3"/>
      <c r="E737" s="3"/>
      <c r="F737" s="3"/>
      <c r="J737" s="3" t="str">
        <f>IFERROR(__xludf.DUMMYFUNCTION("""COMPUTED_VALUE"""),"")</f>
        <v/>
      </c>
      <c r="M737" s="3"/>
    </row>
    <row r="738">
      <c r="C738" s="3"/>
      <c r="D738" s="3"/>
      <c r="E738" s="3"/>
      <c r="F738" s="3"/>
      <c r="J738" s="3" t="str">
        <f>IFERROR(__xludf.DUMMYFUNCTION("""COMPUTED_VALUE"""),"")</f>
        <v/>
      </c>
      <c r="M738" s="3"/>
    </row>
    <row r="739">
      <c r="C739" s="3"/>
      <c r="D739" s="3"/>
      <c r="E739" s="3"/>
      <c r="F739" s="3"/>
      <c r="J739" s="3" t="str">
        <f>IFERROR(__xludf.DUMMYFUNCTION("""COMPUTED_VALUE"""),"")</f>
        <v/>
      </c>
      <c r="M739" s="3"/>
    </row>
    <row r="740">
      <c r="C740" s="3"/>
      <c r="D740" s="3"/>
      <c r="E740" s="3"/>
      <c r="F740" s="3"/>
      <c r="J740" s="3" t="str">
        <f>IFERROR(__xludf.DUMMYFUNCTION("""COMPUTED_VALUE"""),"")</f>
        <v/>
      </c>
      <c r="M740" s="3"/>
    </row>
    <row r="741">
      <c r="C741" s="3"/>
      <c r="D741" s="3"/>
      <c r="E741" s="3"/>
      <c r="F741" s="3"/>
      <c r="J741" s="3" t="str">
        <f>IFERROR(__xludf.DUMMYFUNCTION("""COMPUTED_VALUE"""),"")</f>
        <v/>
      </c>
      <c r="M741" s="3"/>
    </row>
    <row r="742">
      <c r="C742" s="3"/>
      <c r="D742" s="3"/>
      <c r="E742" s="3"/>
      <c r="F742" s="3"/>
      <c r="J742" s="3" t="str">
        <f>IFERROR(__xludf.DUMMYFUNCTION("""COMPUTED_VALUE"""),"")</f>
        <v/>
      </c>
      <c r="M742" s="3"/>
    </row>
    <row r="743">
      <c r="C743" s="3"/>
      <c r="D743" s="3"/>
      <c r="E743" s="3"/>
      <c r="F743" s="3"/>
      <c r="J743" s="3" t="str">
        <f>IFERROR(__xludf.DUMMYFUNCTION("""COMPUTED_VALUE"""),"")</f>
        <v/>
      </c>
      <c r="M743" s="3"/>
    </row>
    <row r="744">
      <c r="C744" s="3"/>
      <c r="D744" s="3"/>
      <c r="E744" s="3"/>
      <c r="F744" s="3"/>
      <c r="J744" s="3" t="str">
        <f>IFERROR(__xludf.DUMMYFUNCTION("""COMPUTED_VALUE"""),"")</f>
        <v/>
      </c>
      <c r="M744" s="3"/>
    </row>
    <row r="745">
      <c r="C745" s="3"/>
      <c r="D745" s="3"/>
      <c r="E745" s="3"/>
      <c r="F745" s="3"/>
      <c r="J745" s="3" t="str">
        <f>IFERROR(__xludf.DUMMYFUNCTION("""COMPUTED_VALUE"""),"")</f>
        <v/>
      </c>
      <c r="M745" s="3"/>
    </row>
    <row r="746">
      <c r="C746" s="3"/>
      <c r="D746" s="3"/>
      <c r="E746" s="3"/>
      <c r="F746" s="3"/>
      <c r="J746" s="3" t="str">
        <f>IFERROR(__xludf.DUMMYFUNCTION("""COMPUTED_VALUE"""),"")</f>
        <v/>
      </c>
      <c r="M746" s="3"/>
    </row>
    <row r="747">
      <c r="C747" s="3"/>
      <c r="D747" s="3"/>
      <c r="E747" s="3"/>
      <c r="F747" s="3"/>
      <c r="J747" s="3" t="str">
        <f>IFERROR(__xludf.DUMMYFUNCTION("""COMPUTED_VALUE"""),"")</f>
        <v/>
      </c>
      <c r="M747" s="3"/>
    </row>
    <row r="748">
      <c r="C748" s="3"/>
      <c r="D748" s="3"/>
      <c r="E748" s="3"/>
      <c r="F748" s="3"/>
      <c r="J748" s="3" t="str">
        <f>IFERROR(__xludf.DUMMYFUNCTION("""COMPUTED_VALUE"""),"")</f>
        <v/>
      </c>
      <c r="M748" s="3"/>
    </row>
    <row r="749">
      <c r="C749" s="3"/>
      <c r="D749" s="3"/>
      <c r="E749" s="3"/>
      <c r="F749" s="3"/>
      <c r="J749" s="3" t="str">
        <f>IFERROR(__xludf.DUMMYFUNCTION("""COMPUTED_VALUE"""),"")</f>
        <v/>
      </c>
      <c r="M749" s="3"/>
    </row>
    <row r="750">
      <c r="C750" s="3"/>
      <c r="D750" s="3"/>
      <c r="E750" s="3"/>
      <c r="F750" s="3"/>
      <c r="J750" s="3" t="str">
        <f>IFERROR(__xludf.DUMMYFUNCTION("""COMPUTED_VALUE"""),"")</f>
        <v/>
      </c>
      <c r="M750" s="3"/>
    </row>
    <row r="751">
      <c r="C751" s="3"/>
      <c r="D751" s="3"/>
      <c r="E751" s="3"/>
      <c r="F751" s="3"/>
      <c r="J751" s="3" t="str">
        <f>IFERROR(__xludf.DUMMYFUNCTION("""COMPUTED_VALUE"""),"")</f>
        <v/>
      </c>
      <c r="M751" s="3"/>
    </row>
    <row r="752">
      <c r="C752" s="3"/>
      <c r="D752" s="3"/>
      <c r="E752" s="3"/>
      <c r="F752" s="3"/>
      <c r="J752" s="3" t="str">
        <f>IFERROR(__xludf.DUMMYFUNCTION("""COMPUTED_VALUE"""),"")</f>
        <v/>
      </c>
      <c r="M752" s="3"/>
    </row>
    <row r="753">
      <c r="C753" s="3"/>
      <c r="D753" s="3"/>
      <c r="E753" s="3"/>
      <c r="F753" s="3"/>
      <c r="J753" s="3" t="str">
        <f>IFERROR(__xludf.DUMMYFUNCTION("""COMPUTED_VALUE"""),"")</f>
        <v/>
      </c>
      <c r="M753" s="3"/>
    </row>
    <row r="754">
      <c r="C754" s="3"/>
      <c r="D754" s="3"/>
      <c r="E754" s="3"/>
      <c r="F754" s="3"/>
      <c r="J754" s="3" t="str">
        <f>IFERROR(__xludf.DUMMYFUNCTION("""COMPUTED_VALUE"""),"")</f>
        <v/>
      </c>
      <c r="M754" s="3"/>
    </row>
    <row r="755">
      <c r="C755" s="3"/>
      <c r="D755" s="3"/>
      <c r="E755" s="3"/>
      <c r="F755" s="3"/>
      <c r="J755" s="3" t="str">
        <f>IFERROR(__xludf.DUMMYFUNCTION("""COMPUTED_VALUE"""),"")</f>
        <v/>
      </c>
      <c r="M755" s="3"/>
    </row>
    <row r="756">
      <c r="C756" s="3"/>
      <c r="D756" s="3"/>
      <c r="E756" s="3"/>
      <c r="F756" s="3"/>
      <c r="J756" s="3" t="str">
        <f>IFERROR(__xludf.DUMMYFUNCTION("""COMPUTED_VALUE"""),"")</f>
        <v/>
      </c>
      <c r="M756" s="3"/>
    </row>
    <row r="757">
      <c r="C757" s="3"/>
      <c r="D757" s="3"/>
      <c r="E757" s="3"/>
      <c r="F757" s="3"/>
      <c r="J757" s="3" t="str">
        <f>IFERROR(__xludf.DUMMYFUNCTION("""COMPUTED_VALUE"""),"")</f>
        <v/>
      </c>
      <c r="M757" s="3"/>
    </row>
    <row r="758">
      <c r="C758" s="3"/>
      <c r="D758" s="3"/>
      <c r="E758" s="3"/>
      <c r="F758" s="3"/>
      <c r="J758" s="3" t="str">
        <f>IFERROR(__xludf.DUMMYFUNCTION("""COMPUTED_VALUE"""),"")</f>
        <v/>
      </c>
      <c r="M758" s="3"/>
    </row>
    <row r="759">
      <c r="C759" s="3"/>
      <c r="D759" s="3"/>
      <c r="E759" s="3"/>
      <c r="F759" s="3"/>
      <c r="J759" s="3" t="str">
        <f>IFERROR(__xludf.DUMMYFUNCTION("""COMPUTED_VALUE"""),"")</f>
        <v/>
      </c>
      <c r="M759" s="3"/>
    </row>
    <row r="760">
      <c r="C760" s="3"/>
      <c r="D760" s="3"/>
      <c r="E760" s="3"/>
      <c r="F760" s="3"/>
      <c r="J760" s="3" t="str">
        <f>IFERROR(__xludf.DUMMYFUNCTION("""COMPUTED_VALUE"""),"")</f>
        <v/>
      </c>
      <c r="M760" s="3"/>
    </row>
    <row r="761">
      <c r="C761" s="3"/>
      <c r="D761" s="3"/>
      <c r="E761" s="3"/>
      <c r="F761" s="3"/>
      <c r="J761" s="3" t="str">
        <f>IFERROR(__xludf.DUMMYFUNCTION("""COMPUTED_VALUE"""),"")</f>
        <v/>
      </c>
      <c r="M761" s="3"/>
    </row>
    <row r="762">
      <c r="C762" s="3"/>
      <c r="D762" s="3"/>
      <c r="E762" s="3"/>
      <c r="F762" s="3"/>
      <c r="J762" s="3" t="str">
        <f>IFERROR(__xludf.DUMMYFUNCTION("""COMPUTED_VALUE"""),"")</f>
        <v/>
      </c>
      <c r="M762" s="3"/>
    </row>
    <row r="763">
      <c r="C763" s="3"/>
      <c r="D763" s="3"/>
      <c r="E763" s="3"/>
      <c r="F763" s="3"/>
      <c r="J763" s="3" t="str">
        <f>IFERROR(__xludf.DUMMYFUNCTION("""COMPUTED_VALUE"""),"")</f>
        <v/>
      </c>
      <c r="M763" s="3"/>
    </row>
    <row r="764">
      <c r="C764" s="3"/>
      <c r="D764" s="3"/>
      <c r="E764" s="3"/>
      <c r="F764" s="3"/>
      <c r="J764" s="3" t="str">
        <f>IFERROR(__xludf.DUMMYFUNCTION("""COMPUTED_VALUE"""),"")</f>
        <v/>
      </c>
      <c r="M764" s="3"/>
    </row>
    <row r="765">
      <c r="C765" s="3"/>
      <c r="D765" s="3"/>
      <c r="E765" s="3"/>
      <c r="F765" s="3"/>
      <c r="J765" s="3" t="str">
        <f>IFERROR(__xludf.DUMMYFUNCTION("""COMPUTED_VALUE"""),"")</f>
        <v/>
      </c>
      <c r="M765" s="3"/>
    </row>
    <row r="766">
      <c r="C766" s="3"/>
      <c r="D766" s="3"/>
      <c r="E766" s="3"/>
      <c r="F766" s="3"/>
      <c r="J766" s="3" t="str">
        <f>IFERROR(__xludf.DUMMYFUNCTION("""COMPUTED_VALUE"""),"")</f>
        <v/>
      </c>
      <c r="M766" s="3"/>
    </row>
    <row r="767">
      <c r="C767" s="3"/>
      <c r="D767" s="3"/>
      <c r="E767" s="3"/>
      <c r="F767" s="3"/>
      <c r="J767" s="3" t="str">
        <f>IFERROR(__xludf.DUMMYFUNCTION("""COMPUTED_VALUE"""),"")</f>
        <v/>
      </c>
      <c r="M767" s="3"/>
    </row>
    <row r="768">
      <c r="C768" s="3"/>
      <c r="D768" s="3"/>
      <c r="E768" s="3"/>
      <c r="F768" s="3"/>
      <c r="J768" s="3" t="str">
        <f>IFERROR(__xludf.DUMMYFUNCTION("""COMPUTED_VALUE"""),"")</f>
        <v/>
      </c>
      <c r="M768" s="3"/>
    </row>
    <row r="769">
      <c r="C769" s="3"/>
      <c r="D769" s="3"/>
      <c r="E769" s="3"/>
      <c r="F769" s="3"/>
      <c r="J769" s="3" t="str">
        <f>IFERROR(__xludf.DUMMYFUNCTION("""COMPUTED_VALUE"""),"")</f>
        <v/>
      </c>
      <c r="M769" s="3"/>
    </row>
    <row r="770">
      <c r="C770" s="3"/>
      <c r="D770" s="3"/>
      <c r="E770" s="3"/>
      <c r="F770" s="3"/>
      <c r="J770" s="3" t="str">
        <f>IFERROR(__xludf.DUMMYFUNCTION("""COMPUTED_VALUE"""),"")</f>
        <v/>
      </c>
      <c r="M770" s="3"/>
    </row>
    <row r="771">
      <c r="C771" s="3"/>
      <c r="D771" s="3"/>
      <c r="E771" s="3"/>
      <c r="F771" s="3"/>
      <c r="J771" s="3" t="str">
        <f>IFERROR(__xludf.DUMMYFUNCTION("""COMPUTED_VALUE"""),"")</f>
        <v/>
      </c>
      <c r="M771" s="3"/>
    </row>
    <row r="772">
      <c r="C772" s="3"/>
      <c r="D772" s="3"/>
      <c r="E772" s="3"/>
      <c r="F772" s="3"/>
      <c r="J772" s="3" t="str">
        <f>IFERROR(__xludf.DUMMYFUNCTION("""COMPUTED_VALUE"""),"")</f>
        <v/>
      </c>
      <c r="M772" s="3"/>
    </row>
    <row r="773">
      <c r="C773" s="3"/>
      <c r="D773" s="3"/>
      <c r="E773" s="3"/>
      <c r="F773" s="3"/>
      <c r="J773" s="3" t="str">
        <f>IFERROR(__xludf.DUMMYFUNCTION("""COMPUTED_VALUE"""),"")</f>
        <v/>
      </c>
      <c r="M773" s="3"/>
    </row>
    <row r="774">
      <c r="C774" s="3"/>
      <c r="D774" s="3"/>
      <c r="E774" s="3"/>
      <c r="F774" s="3"/>
      <c r="J774" s="3" t="str">
        <f>IFERROR(__xludf.DUMMYFUNCTION("""COMPUTED_VALUE"""),"")</f>
        <v/>
      </c>
      <c r="M774" s="3"/>
    </row>
    <row r="775">
      <c r="C775" s="3"/>
      <c r="D775" s="3"/>
      <c r="E775" s="3"/>
      <c r="F775" s="3"/>
      <c r="J775" s="3" t="str">
        <f>IFERROR(__xludf.DUMMYFUNCTION("""COMPUTED_VALUE"""),"")</f>
        <v/>
      </c>
      <c r="M775" s="3"/>
    </row>
    <row r="776">
      <c r="C776" s="3"/>
      <c r="D776" s="3"/>
      <c r="E776" s="3"/>
      <c r="F776" s="3"/>
      <c r="J776" s="3" t="str">
        <f>IFERROR(__xludf.DUMMYFUNCTION("""COMPUTED_VALUE"""),"")</f>
        <v/>
      </c>
      <c r="M776" s="3"/>
    </row>
    <row r="777">
      <c r="C777" s="3"/>
      <c r="D777" s="3"/>
      <c r="E777" s="3"/>
      <c r="F777" s="3"/>
      <c r="J777" s="3" t="str">
        <f>IFERROR(__xludf.DUMMYFUNCTION("""COMPUTED_VALUE"""),"")</f>
        <v/>
      </c>
      <c r="M777" s="3"/>
    </row>
    <row r="778">
      <c r="C778" s="3"/>
      <c r="D778" s="3"/>
      <c r="E778" s="3"/>
      <c r="F778" s="3"/>
      <c r="J778" s="3" t="str">
        <f>IFERROR(__xludf.DUMMYFUNCTION("""COMPUTED_VALUE"""),"")</f>
        <v/>
      </c>
      <c r="M778" s="3"/>
    </row>
    <row r="779">
      <c r="C779" s="3"/>
      <c r="D779" s="3"/>
      <c r="E779" s="3"/>
      <c r="F779" s="3"/>
      <c r="J779" s="3" t="str">
        <f>IFERROR(__xludf.DUMMYFUNCTION("""COMPUTED_VALUE"""),"")</f>
        <v/>
      </c>
      <c r="M779" s="3"/>
    </row>
    <row r="780">
      <c r="C780" s="3"/>
      <c r="D780" s="3"/>
      <c r="E780" s="3"/>
      <c r="F780" s="3"/>
      <c r="J780" s="3" t="str">
        <f>IFERROR(__xludf.DUMMYFUNCTION("""COMPUTED_VALUE"""),"")</f>
        <v/>
      </c>
      <c r="M780" s="3"/>
    </row>
    <row r="781">
      <c r="C781" s="3"/>
      <c r="D781" s="3"/>
      <c r="E781" s="3"/>
      <c r="F781" s="3"/>
      <c r="J781" s="3" t="str">
        <f>IFERROR(__xludf.DUMMYFUNCTION("""COMPUTED_VALUE"""),"")</f>
        <v/>
      </c>
      <c r="M781" s="3"/>
    </row>
    <row r="782">
      <c r="C782" s="3"/>
      <c r="D782" s="3"/>
      <c r="E782" s="3"/>
      <c r="F782" s="3"/>
      <c r="J782" s="3" t="str">
        <f>IFERROR(__xludf.DUMMYFUNCTION("""COMPUTED_VALUE"""),"")</f>
        <v/>
      </c>
      <c r="M782" s="3"/>
    </row>
    <row r="783">
      <c r="C783" s="3"/>
      <c r="D783" s="3"/>
      <c r="E783" s="3"/>
      <c r="F783" s="3"/>
      <c r="J783" s="3" t="str">
        <f>IFERROR(__xludf.DUMMYFUNCTION("""COMPUTED_VALUE"""),"")</f>
        <v/>
      </c>
      <c r="M783" s="3"/>
    </row>
    <row r="784">
      <c r="C784" s="3"/>
      <c r="D784" s="3"/>
      <c r="E784" s="3"/>
      <c r="F784" s="3"/>
      <c r="J784" s="3" t="str">
        <f>IFERROR(__xludf.DUMMYFUNCTION("""COMPUTED_VALUE"""),"")</f>
        <v/>
      </c>
      <c r="M784" s="3"/>
    </row>
    <row r="785">
      <c r="C785" s="3"/>
      <c r="D785" s="3"/>
      <c r="E785" s="3"/>
      <c r="F785" s="3"/>
      <c r="J785" s="3" t="str">
        <f>IFERROR(__xludf.DUMMYFUNCTION("""COMPUTED_VALUE"""),"")</f>
        <v/>
      </c>
      <c r="M785" s="3"/>
    </row>
    <row r="786">
      <c r="C786" s="3"/>
      <c r="D786" s="3"/>
      <c r="E786" s="3"/>
      <c r="F786" s="3"/>
      <c r="J786" s="3" t="str">
        <f>IFERROR(__xludf.DUMMYFUNCTION("""COMPUTED_VALUE"""),"")</f>
        <v/>
      </c>
      <c r="M786" s="3"/>
    </row>
    <row r="787">
      <c r="C787" s="3"/>
      <c r="D787" s="3"/>
      <c r="E787" s="3"/>
      <c r="F787" s="3"/>
      <c r="J787" s="3" t="str">
        <f>IFERROR(__xludf.DUMMYFUNCTION("""COMPUTED_VALUE"""),"")</f>
        <v/>
      </c>
      <c r="M787" s="3"/>
    </row>
    <row r="788">
      <c r="C788" s="3"/>
      <c r="D788" s="3"/>
      <c r="E788" s="3"/>
      <c r="F788" s="3"/>
      <c r="J788" s="3" t="str">
        <f>IFERROR(__xludf.DUMMYFUNCTION("""COMPUTED_VALUE"""),"")</f>
        <v/>
      </c>
      <c r="M788" s="3"/>
    </row>
    <row r="789">
      <c r="C789" s="3"/>
      <c r="D789" s="3"/>
      <c r="E789" s="3"/>
      <c r="F789" s="3"/>
      <c r="J789" s="3" t="str">
        <f>IFERROR(__xludf.DUMMYFUNCTION("""COMPUTED_VALUE"""),"")</f>
        <v/>
      </c>
      <c r="M789" s="3"/>
    </row>
    <row r="790">
      <c r="C790" s="3"/>
      <c r="D790" s="3"/>
      <c r="E790" s="3"/>
      <c r="F790" s="3"/>
      <c r="J790" s="3" t="str">
        <f>IFERROR(__xludf.DUMMYFUNCTION("""COMPUTED_VALUE"""),"")</f>
        <v/>
      </c>
      <c r="M790" s="3"/>
    </row>
    <row r="791">
      <c r="C791" s="3"/>
      <c r="D791" s="3"/>
      <c r="E791" s="3"/>
      <c r="F791" s="3"/>
      <c r="J791" s="3" t="str">
        <f>IFERROR(__xludf.DUMMYFUNCTION("""COMPUTED_VALUE"""),"")</f>
        <v/>
      </c>
      <c r="M791" s="3"/>
    </row>
    <row r="792">
      <c r="C792" s="3"/>
      <c r="D792" s="3"/>
      <c r="E792" s="3"/>
      <c r="F792" s="3"/>
      <c r="J792" s="3" t="str">
        <f>IFERROR(__xludf.DUMMYFUNCTION("""COMPUTED_VALUE"""),"")</f>
        <v/>
      </c>
      <c r="M792" s="3"/>
    </row>
    <row r="793">
      <c r="C793" s="3"/>
      <c r="D793" s="3"/>
      <c r="E793" s="3"/>
      <c r="F793" s="3"/>
      <c r="J793" s="3" t="str">
        <f>IFERROR(__xludf.DUMMYFUNCTION("""COMPUTED_VALUE"""),"")</f>
        <v/>
      </c>
      <c r="M793" s="3"/>
    </row>
    <row r="794">
      <c r="C794" s="3"/>
      <c r="D794" s="3"/>
      <c r="E794" s="3"/>
      <c r="F794" s="3"/>
      <c r="J794" s="3" t="str">
        <f>IFERROR(__xludf.DUMMYFUNCTION("""COMPUTED_VALUE"""),"")</f>
        <v/>
      </c>
      <c r="M794" s="3"/>
    </row>
    <row r="795">
      <c r="C795" s="3"/>
      <c r="D795" s="3"/>
      <c r="E795" s="3"/>
      <c r="F795" s="3"/>
      <c r="J795" s="3" t="str">
        <f>IFERROR(__xludf.DUMMYFUNCTION("""COMPUTED_VALUE"""),"")</f>
        <v/>
      </c>
      <c r="M795" s="3"/>
    </row>
    <row r="796">
      <c r="C796" s="3"/>
      <c r="D796" s="3"/>
      <c r="E796" s="3"/>
      <c r="F796" s="3"/>
      <c r="J796" s="3" t="str">
        <f>IFERROR(__xludf.DUMMYFUNCTION("""COMPUTED_VALUE"""),"")</f>
        <v/>
      </c>
      <c r="M796" s="3"/>
    </row>
    <row r="797">
      <c r="C797" s="3"/>
      <c r="D797" s="3"/>
      <c r="E797" s="3"/>
      <c r="F797" s="3"/>
      <c r="J797" s="3" t="str">
        <f>IFERROR(__xludf.DUMMYFUNCTION("""COMPUTED_VALUE"""),"")</f>
        <v/>
      </c>
      <c r="M797" s="3"/>
    </row>
    <row r="798">
      <c r="C798" s="3"/>
      <c r="D798" s="3"/>
      <c r="E798" s="3"/>
      <c r="F798" s="3"/>
      <c r="J798" s="3" t="str">
        <f>IFERROR(__xludf.DUMMYFUNCTION("""COMPUTED_VALUE"""),"")</f>
        <v/>
      </c>
      <c r="M798" s="3"/>
    </row>
    <row r="799">
      <c r="C799" s="3"/>
      <c r="D799" s="3"/>
      <c r="E799" s="3"/>
      <c r="F799" s="3"/>
      <c r="J799" s="3" t="str">
        <f>IFERROR(__xludf.DUMMYFUNCTION("""COMPUTED_VALUE"""),"")</f>
        <v/>
      </c>
      <c r="M799" s="3"/>
    </row>
    <row r="800">
      <c r="C800" s="3"/>
      <c r="D800" s="3"/>
      <c r="E800" s="3"/>
      <c r="F800" s="3"/>
      <c r="J800" s="3" t="str">
        <f>IFERROR(__xludf.DUMMYFUNCTION("""COMPUTED_VALUE"""),"")</f>
        <v/>
      </c>
      <c r="M800" s="3"/>
    </row>
    <row r="801">
      <c r="C801" s="3"/>
      <c r="D801" s="3"/>
      <c r="E801" s="3"/>
      <c r="F801" s="3"/>
      <c r="J801" s="3" t="str">
        <f>IFERROR(__xludf.DUMMYFUNCTION("""COMPUTED_VALUE"""),"")</f>
        <v/>
      </c>
      <c r="M801" s="3"/>
    </row>
    <row r="802">
      <c r="C802" s="3"/>
      <c r="D802" s="3"/>
      <c r="E802" s="3"/>
      <c r="F802" s="3"/>
      <c r="J802" s="3" t="str">
        <f>IFERROR(__xludf.DUMMYFUNCTION("""COMPUTED_VALUE"""),"")</f>
        <v/>
      </c>
      <c r="M802" s="3"/>
    </row>
    <row r="803">
      <c r="C803" s="3"/>
      <c r="D803" s="3"/>
      <c r="E803" s="3"/>
      <c r="F803" s="3"/>
      <c r="J803" s="3" t="str">
        <f>IFERROR(__xludf.DUMMYFUNCTION("""COMPUTED_VALUE"""),"")</f>
        <v/>
      </c>
      <c r="M803" s="3"/>
    </row>
    <row r="804">
      <c r="C804" s="3"/>
      <c r="D804" s="3"/>
      <c r="E804" s="3"/>
      <c r="F804" s="3"/>
      <c r="J804" s="3" t="str">
        <f>IFERROR(__xludf.DUMMYFUNCTION("""COMPUTED_VALUE"""),"")</f>
        <v/>
      </c>
      <c r="M804" s="3"/>
    </row>
    <row r="805">
      <c r="C805" s="3"/>
      <c r="D805" s="3"/>
      <c r="E805" s="3"/>
      <c r="F805" s="3"/>
      <c r="J805" s="3" t="str">
        <f>IFERROR(__xludf.DUMMYFUNCTION("""COMPUTED_VALUE"""),"")</f>
        <v/>
      </c>
      <c r="M805" s="3"/>
    </row>
    <row r="806">
      <c r="C806" s="3"/>
      <c r="D806" s="3"/>
      <c r="E806" s="3"/>
      <c r="F806" s="3"/>
      <c r="J806" s="3" t="str">
        <f>IFERROR(__xludf.DUMMYFUNCTION("""COMPUTED_VALUE"""),"")</f>
        <v/>
      </c>
      <c r="M806" s="3"/>
    </row>
    <row r="807">
      <c r="C807" s="3"/>
      <c r="D807" s="3"/>
      <c r="E807" s="3"/>
      <c r="F807" s="3"/>
      <c r="J807" s="3" t="str">
        <f>IFERROR(__xludf.DUMMYFUNCTION("""COMPUTED_VALUE"""),"")</f>
        <v/>
      </c>
      <c r="M807" s="3"/>
    </row>
    <row r="808">
      <c r="C808" s="3"/>
      <c r="D808" s="3"/>
      <c r="E808" s="3"/>
      <c r="F808" s="3"/>
      <c r="J808" s="3" t="str">
        <f>IFERROR(__xludf.DUMMYFUNCTION("""COMPUTED_VALUE"""),"")</f>
        <v/>
      </c>
      <c r="M808" s="3"/>
    </row>
    <row r="809">
      <c r="C809" s="3"/>
      <c r="D809" s="3"/>
      <c r="E809" s="3"/>
      <c r="F809" s="3"/>
      <c r="J809" s="3" t="str">
        <f>IFERROR(__xludf.DUMMYFUNCTION("""COMPUTED_VALUE"""),"")</f>
        <v/>
      </c>
      <c r="M809" s="3"/>
    </row>
    <row r="810">
      <c r="C810" s="3"/>
      <c r="D810" s="3"/>
      <c r="E810" s="3"/>
      <c r="F810" s="3"/>
      <c r="J810" s="3" t="str">
        <f>IFERROR(__xludf.DUMMYFUNCTION("""COMPUTED_VALUE"""),"")</f>
        <v/>
      </c>
      <c r="M810" s="3"/>
    </row>
    <row r="811">
      <c r="C811" s="3"/>
      <c r="D811" s="3"/>
      <c r="E811" s="3"/>
      <c r="F811" s="3"/>
      <c r="J811" s="3" t="str">
        <f>IFERROR(__xludf.DUMMYFUNCTION("""COMPUTED_VALUE"""),"")</f>
        <v/>
      </c>
      <c r="M811" s="3"/>
    </row>
    <row r="812">
      <c r="C812" s="3"/>
      <c r="D812" s="3"/>
      <c r="E812" s="3"/>
      <c r="F812" s="3"/>
      <c r="J812" s="3" t="str">
        <f>IFERROR(__xludf.DUMMYFUNCTION("""COMPUTED_VALUE"""),"")</f>
        <v/>
      </c>
      <c r="M812" s="3"/>
    </row>
    <row r="813">
      <c r="C813" s="3"/>
      <c r="D813" s="3"/>
      <c r="E813" s="3"/>
      <c r="F813" s="3"/>
      <c r="J813" s="3" t="str">
        <f>IFERROR(__xludf.DUMMYFUNCTION("""COMPUTED_VALUE"""),"")</f>
        <v/>
      </c>
      <c r="M813" s="3"/>
    </row>
    <row r="814">
      <c r="C814" s="3"/>
      <c r="D814" s="3"/>
      <c r="E814" s="3"/>
      <c r="F814" s="3"/>
      <c r="J814" s="3" t="str">
        <f>IFERROR(__xludf.DUMMYFUNCTION("""COMPUTED_VALUE"""),"")</f>
        <v/>
      </c>
      <c r="M814" s="3"/>
    </row>
    <row r="815">
      <c r="C815" s="3"/>
      <c r="D815" s="3"/>
      <c r="E815" s="3"/>
      <c r="F815" s="3"/>
      <c r="J815" s="3" t="str">
        <f>IFERROR(__xludf.DUMMYFUNCTION("""COMPUTED_VALUE"""),"")</f>
        <v/>
      </c>
      <c r="M815" s="3"/>
    </row>
    <row r="816">
      <c r="C816" s="3"/>
      <c r="D816" s="3"/>
      <c r="E816" s="3"/>
      <c r="F816" s="3"/>
      <c r="J816" s="3" t="str">
        <f>IFERROR(__xludf.DUMMYFUNCTION("""COMPUTED_VALUE"""),"")</f>
        <v/>
      </c>
      <c r="M816" s="3"/>
    </row>
    <row r="817">
      <c r="C817" s="3"/>
      <c r="D817" s="3"/>
      <c r="E817" s="3"/>
      <c r="F817" s="3"/>
      <c r="J817" s="3" t="str">
        <f>IFERROR(__xludf.DUMMYFUNCTION("""COMPUTED_VALUE"""),"")</f>
        <v/>
      </c>
      <c r="M817" s="3"/>
    </row>
    <row r="818">
      <c r="C818" s="3"/>
      <c r="D818" s="3"/>
      <c r="E818" s="3"/>
      <c r="F818" s="3"/>
      <c r="J818" s="3" t="str">
        <f>IFERROR(__xludf.DUMMYFUNCTION("""COMPUTED_VALUE"""),"")</f>
        <v/>
      </c>
      <c r="M818" s="3"/>
    </row>
    <row r="819">
      <c r="C819" s="3"/>
      <c r="D819" s="3"/>
      <c r="E819" s="3"/>
      <c r="F819" s="3"/>
      <c r="J819" s="3" t="str">
        <f>IFERROR(__xludf.DUMMYFUNCTION("""COMPUTED_VALUE"""),"")</f>
        <v/>
      </c>
      <c r="M819" s="3"/>
    </row>
    <row r="820">
      <c r="C820" s="3"/>
      <c r="D820" s="3"/>
      <c r="E820" s="3"/>
      <c r="F820" s="3"/>
      <c r="J820" s="3" t="str">
        <f>IFERROR(__xludf.DUMMYFUNCTION("""COMPUTED_VALUE"""),"")</f>
        <v/>
      </c>
      <c r="M820" s="3"/>
    </row>
    <row r="821">
      <c r="C821" s="3"/>
      <c r="D821" s="3"/>
      <c r="E821" s="3"/>
      <c r="F821" s="3"/>
      <c r="J821" s="3" t="str">
        <f>IFERROR(__xludf.DUMMYFUNCTION("""COMPUTED_VALUE"""),"")</f>
        <v/>
      </c>
      <c r="M821" s="3"/>
    </row>
    <row r="822">
      <c r="C822" s="3"/>
      <c r="D822" s="3"/>
      <c r="E822" s="3"/>
      <c r="F822" s="3"/>
      <c r="J822" s="3" t="str">
        <f>IFERROR(__xludf.DUMMYFUNCTION("""COMPUTED_VALUE"""),"")</f>
        <v/>
      </c>
      <c r="M822" s="3"/>
    </row>
    <row r="823">
      <c r="C823" s="3"/>
      <c r="D823" s="3"/>
      <c r="E823" s="3"/>
      <c r="F823" s="3"/>
      <c r="J823" s="3" t="str">
        <f>IFERROR(__xludf.DUMMYFUNCTION("""COMPUTED_VALUE"""),"")</f>
        <v/>
      </c>
      <c r="M823" s="3"/>
    </row>
    <row r="824">
      <c r="C824" s="3"/>
      <c r="D824" s="3"/>
      <c r="E824" s="3"/>
      <c r="F824" s="3"/>
      <c r="J824" s="3" t="str">
        <f>IFERROR(__xludf.DUMMYFUNCTION("""COMPUTED_VALUE"""),"")</f>
        <v/>
      </c>
      <c r="M824" s="3"/>
    </row>
    <row r="825">
      <c r="C825" s="3"/>
      <c r="D825" s="3"/>
      <c r="E825" s="3"/>
      <c r="F825" s="3"/>
      <c r="J825" s="3" t="str">
        <f>IFERROR(__xludf.DUMMYFUNCTION("""COMPUTED_VALUE"""),"")</f>
        <v/>
      </c>
      <c r="M825" s="3"/>
    </row>
    <row r="826">
      <c r="C826" s="3"/>
      <c r="D826" s="3"/>
      <c r="E826" s="3"/>
      <c r="F826" s="3"/>
      <c r="J826" s="3" t="str">
        <f>IFERROR(__xludf.DUMMYFUNCTION("""COMPUTED_VALUE"""),"")</f>
        <v/>
      </c>
      <c r="M826" s="3"/>
    </row>
    <row r="827">
      <c r="C827" s="3"/>
      <c r="D827" s="3"/>
      <c r="E827" s="3"/>
      <c r="F827" s="3"/>
      <c r="J827" s="3" t="str">
        <f>IFERROR(__xludf.DUMMYFUNCTION("""COMPUTED_VALUE"""),"")</f>
        <v/>
      </c>
      <c r="M827" s="3"/>
    </row>
    <row r="828">
      <c r="C828" s="3"/>
      <c r="D828" s="3"/>
      <c r="E828" s="3"/>
      <c r="F828" s="3"/>
      <c r="J828" s="3" t="str">
        <f>IFERROR(__xludf.DUMMYFUNCTION("""COMPUTED_VALUE"""),"")</f>
        <v/>
      </c>
      <c r="M828" s="3"/>
    </row>
    <row r="829">
      <c r="C829" s="3"/>
      <c r="D829" s="3"/>
      <c r="E829" s="3"/>
      <c r="F829" s="3"/>
      <c r="J829" s="3" t="str">
        <f>IFERROR(__xludf.DUMMYFUNCTION("""COMPUTED_VALUE"""),"")</f>
        <v/>
      </c>
      <c r="M829" s="3"/>
    </row>
    <row r="830">
      <c r="C830" s="3"/>
      <c r="D830" s="3"/>
      <c r="E830" s="3"/>
      <c r="F830" s="3"/>
      <c r="J830" s="3" t="str">
        <f>IFERROR(__xludf.DUMMYFUNCTION("""COMPUTED_VALUE"""),"")</f>
        <v/>
      </c>
      <c r="M830" s="3"/>
    </row>
    <row r="831">
      <c r="C831" s="3"/>
      <c r="D831" s="3"/>
      <c r="E831" s="3"/>
      <c r="F831" s="3"/>
      <c r="J831" s="3" t="str">
        <f>IFERROR(__xludf.DUMMYFUNCTION("""COMPUTED_VALUE"""),"")</f>
        <v/>
      </c>
      <c r="M831" s="3"/>
    </row>
    <row r="832">
      <c r="C832" s="3"/>
      <c r="D832" s="3"/>
      <c r="E832" s="3"/>
      <c r="F832" s="3"/>
      <c r="J832" s="3" t="str">
        <f>IFERROR(__xludf.DUMMYFUNCTION("""COMPUTED_VALUE"""),"")</f>
        <v/>
      </c>
      <c r="M832" s="3"/>
    </row>
    <row r="833">
      <c r="C833" s="3"/>
      <c r="D833" s="3"/>
      <c r="E833" s="3"/>
      <c r="F833" s="3"/>
      <c r="J833" s="3" t="str">
        <f>IFERROR(__xludf.DUMMYFUNCTION("""COMPUTED_VALUE"""),"")</f>
        <v/>
      </c>
      <c r="M833" s="3"/>
    </row>
    <row r="834">
      <c r="C834" s="3"/>
      <c r="D834" s="3"/>
      <c r="E834" s="3"/>
      <c r="F834" s="3"/>
      <c r="J834" s="3" t="str">
        <f>IFERROR(__xludf.DUMMYFUNCTION("""COMPUTED_VALUE"""),"")</f>
        <v/>
      </c>
      <c r="M834" s="3"/>
    </row>
    <row r="835">
      <c r="C835" s="3"/>
      <c r="D835" s="3"/>
      <c r="E835" s="3"/>
      <c r="F835" s="3"/>
      <c r="J835" s="3" t="str">
        <f>IFERROR(__xludf.DUMMYFUNCTION("""COMPUTED_VALUE"""),"")</f>
        <v/>
      </c>
      <c r="M835" s="3"/>
    </row>
    <row r="836">
      <c r="C836" s="3"/>
      <c r="D836" s="3"/>
      <c r="E836" s="3"/>
      <c r="F836" s="3"/>
      <c r="J836" s="3" t="str">
        <f>IFERROR(__xludf.DUMMYFUNCTION("""COMPUTED_VALUE"""),"")</f>
        <v/>
      </c>
      <c r="M836" s="3"/>
    </row>
    <row r="837">
      <c r="C837" s="3"/>
      <c r="D837" s="3"/>
      <c r="E837" s="3"/>
      <c r="F837" s="3"/>
      <c r="J837" s="3" t="str">
        <f>IFERROR(__xludf.DUMMYFUNCTION("""COMPUTED_VALUE"""),"")</f>
        <v/>
      </c>
      <c r="M837" s="3"/>
    </row>
    <row r="838">
      <c r="C838" s="3"/>
      <c r="D838" s="3"/>
      <c r="E838" s="3"/>
      <c r="F838" s="3"/>
      <c r="J838" s="3" t="str">
        <f>IFERROR(__xludf.DUMMYFUNCTION("""COMPUTED_VALUE"""),"")</f>
        <v/>
      </c>
      <c r="M838" s="3"/>
    </row>
    <row r="839">
      <c r="C839" s="3"/>
      <c r="D839" s="3"/>
      <c r="E839" s="3"/>
      <c r="F839" s="3"/>
      <c r="J839" s="3" t="str">
        <f>IFERROR(__xludf.DUMMYFUNCTION("""COMPUTED_VALUE"""),"")</f>
        <v/>
      </c>
      <c r="M839" s="3"/>
    </row>
    <row r="840">
      <c r="C840" s="3"/>
      <c r="D840" s="3"/>
      <c r="E840" s="3"/>
      <c r="F840" s="3"/>
      <c r="J840" s="3" t="str">
        <f>IFERROR(__xludf.DUMMYFUNCTION("""COMPUTED_VALUE"""),"")</f>
        <v/>
      </c>
      <c r="M840" s="3"/>
    </row>
    <row r="841">
      <c r="C841" s="3"/>
      <c r="D841" s="3"/>
      <c r="E841" s="3"/>
      <c r="F841" s="3"/>
      <c r="J841" s="3" t="str">
        <f>IFERROR(__xludf.DUMMYFUNCTION("""COMPUTED_VALUE"""),"")</f>
        <v/>
      </c>
      <c r="M841" s="3"/>
    </row>
    <row r="842">
      <c r="C842" s="3"/>
      <c r="D842" s="3"/>
      <c r="E842" s="3"/>
      <c r="F842" s="3"/>
      <c r="J842" s="3" t="str">
        <f>IFERROR(__xludf.DUMMYFUNCTION("""COMPUTED_VALUE"""),"")</f>
        <v/>
      </c>
      <c r="M842" s="3"/>
    </row>
    <row r="843">
      <c r="C843" s="3"/>
      <c r="D843" s="3"/>
      <c r="E843" s="3"/>
      <c r="F843" s="3"/>
      <c r="J843" s="3" t="str">
        <f>IFERROR(__xludf.DUMMYFUNCTION("""COMPUTED_VALUE"""),"")</f>
        <v/>
      </c>
      <c r="M843" s="3"/>
    </row>
    <row r="844">
      <c r="C844" s="3"/>
      <c r="D844" s="3"/>
      <c r="E844" s="3"/>
      <c r="F844" s="3"/>
      <c r="J844" s="3" t="str">
        <f>IFERROR(__xludf.DUMMYFUNCTION("""COMPUTED_VALUE"""),"")</f>
        <v/>
      </c>
      <c r="M844" s="3"/>
    </row>
    <row r="845">
      <c r="C845" s="3"/>
      <c r="D845" s="3"/>
      <c r="E845" s="3"/>
      <c r="F845" s="3"/>
      <c r="J845" s="3" t="str">
        <f>IFERROR(__xludf.DUMMYFUNCTION("""COMPUTED_VALUE"""),"")</f>
        <v/>
      </c>
      <c r="M845" s="3"/>
    </row>
    <row r="846">
      <c r="C846" s="3"/>
      <c r="D846" s="3"/>
      <c r="E846" s="3"/>
      <c r="F846" s="3"/>
      <c r="J846" s="3" t="str">
        <f>IFERROR(__xludf.DUMMYFUNCTION("""COMPUTED_VALUE"""),"")</f>
        <v/>
      </c>
      <c r="M846" s="3"/>
    </row>
    <row r="847">
      <c r="C847" s="3"/>
      <c r="D847" s="3"/>
      <c r="E847" s="3"/>
      <c r="F847" s="3"/>
      <c r="J847" s="3" t="str">
        <f>IFERROR(__xludf.DUMMYFUNCTION("""COMPUTED_VALUE"""),"")</f>
        <v/>
      </c>
      <c r="M847" s="3"/>
    </row>
    <row r="848">
      <c r="C848" s="3"/>
      <c r="D848" s="3"/>
      <c r="E848" s="3"/>
      <c r="F848" s="3"/>
      <c r="J848" s="3" t="str">
        <f>IFERROR(__xludf.DUMMYFUNCTION("""COMPUTED_VALUE"""),"")</f>
        <v/>
      </c>
      <c r="M848" s="3"/>
    </row>
    <row r="849">
      <c r="C849" s="3"/>
      <c r="D849" s="3"/>
      <c r="E849" s="3"/>
      <c r="F849" s="3"/>
      <c r="J849" s="3" t="str">
        <f>IFERROR(__xludf.DUMMYFUNCTION("""COMPUTED_VALUE"""),"")</f>
        <v/>
      </c>
      <c r="M849" s="3"/>
    </row>
    <row r="850">
      <c r="C850" s="3"/>
      <c r="D850" s="3"/>
      <c r="E850" s="3"/>
      <c r="F850" s="3"/>
      <c r="J850" s="3" t="str">
        <f>IFERROR(__xludf.DUMMYFUNCTION("""COMPUTED_VALUE"""),"")</f>
        <v/>
      </c>
      <c r="M850" s="3"/>
    </row>
    <row r="851">
      <c r="C851" s="3"/>
      <c r="D851" s="3"/>
      <c r="E851" s="3"/>
      <c r="F851" s="3"/>
      <c r="J851" s="3" t="str">
        <f>IFERROR(__xludf.DUMMYFUNCTION("""COMPUTED_VALUE"""),"")</f>
        <v/>
      </c>
      <c r="M851" s="3"/>
    </row>
    <row r="852">
      <c r="C852" s="3"/>
      <c r="D852" s="3"/>
      <c r="E852" s="3"/>
      <c r="F852" s="3"/>
      <c r="J852" s="3" t="str">
        <f>IFERROR(__xludf.DUMMYFUNCTION("""COMPUTED_VALUE"""),"")</f>
        <v/>
      </c>
      <c r="M852" s="3"/>
    </row>
    <row r="853">
      <c r="C853" s="3"/>
      <c r="D853" s="3"/>
      <c r="E853" s="3"/>
      <c r="F853" s="3"/>
      <c r="J853" s="3" t="str">
        <f>IFERROR(__xludf.DUMMYFUNCTION("""COMPUTED_VALUE"""),"")</f>
        <v/>
      </c>
      <c r="M853" s="3"/>
    </row>
    <row r="854">
      <c r="C854" s="3"/>
      <c r="D854" s="3"/>
      <c r="E854" s="3"/>
      <c r="F854" s="3"/>
      <c r="J854" s="3" t="str">
        <f>IFERROR(__xludf.DUMMYFUNCTION("""COMPUTED_VALUE"""),"")</f>
        <v/>
      </c>
      <c r="M854" s="3"/>
    </row>
    <row r="855">
      <c r="C855" s="3"/>
      <c r="D855" s="3"/>
      <c r="E855" s="3"/>
      <c r="F855" s="3"/>
      <c r="J855" s="3" t="str">
        <f>IFERROR(__xludf.DUMMYFUNCTION("""COMPUTED_VALUE"""),"")</f>
        <v/>
      </c>
      <c r="M855" s="3"/>
    </row>
    <row r="856">
      <c r="C856" s="3"/>
      <c r="D856" s="3"/>
      <c r="E856" s="3"/>
      <c r="F856" s="3"/>
      <c r="J856" s="3" t="str">
        <f>IFERROR(__xludf.DUMMYFUNCTION("""COMPUTED_VALUE"""),"")</f>
        <v/>
      </c>
      <c r="M856" s="3"/>
    </row>
    <row r="857">
      <c r="C857" s="3"/>
      <c r="D857" s="3"/>
      <c r="E857" s="3"/>
      <c r="F857" s="3"/>
      <c r="J857" s="3" t="str">
        <f>IFERROR(__xludf.DUMMYFUNCTION("""COMPUTED_VALUE"""),"")</f>
        <v/>
      </c>
      <c r="M857" s="3"/>
    </row>
    <row r="858">
      <c r="C858" s="3"/>
      <c r="D858" s="3"/>
      <c r="E858" s="3"/>
      <c r="F858" s="3"/>
      <c r="J858" s="3" t="str">
        <f>IFERROR(__xludf.DUMMYFUNCTION("""COMPUTED_VALUE"""),"")</f>
        <v/>
      </c>
      <c r="M858" s="3"/>
    </row>
    <row r="859">
      <c r="C859" s="3"/>
      <c r="D859" s="3"/>
      <c r="E859" s="3"/>
      <c r="F859" s="3"/>
      <c r="J859" s="3" t="str">
        <f>IFERROR(__xludf.DUMMYFUNCTION("""COMPUTED_VALUE"""),"")</f>
        <v/>
      </c>
      <c r="M859" s="3"/>
    </row>
    <row r="860">
      <c r="C860" s="3"/>
      <c r="D860" s="3"/>
      <c r="E860" s="3"/>
      <c r="F860" s="3"/>
      <c r="J860" s="3" t="str">
        <f>IFERROR(__xludf.DUMMYFUNCTION("""COMPUTED_VALUE"""),"")</f>
        <v/>
      </c>
      <c r="M860" s="3"/>
    </row>
    <row r="861">
      <c r="C861" s="3"/>
      <c r="D861" s="3"/>
      <c r="E861" s="3"/>
      <c r="F861" s="3"/>
      <c r="J861" s="3" t="str">
        <f>IFERROR(__xludf.DUMMYFUNCTION("""COMPUTED_VALUE"""),"")</f>
        <v/>
      </c>
      <c r="M861" s="3"/>
    </row>
    <row r="862">
      <c r="C862" s="3"/>
      <c r="D862" s="3"/>
      <c r="E862" s="3"/>
      <c r="F862" s="3"/>
      <c r="J862" s="3" t="str">
        <f>IFERROR(__xludf.DUMMYFUNCTION("""COMPUTED_VALUE"""),"")</f>
        <v/>
      </c>
      <c r="M862" s="3"/>
    </row>
    <row r="863">
      <c r="C863" s="3"/>
      <c r="D863" s="3"/>
      <c r="E863" s="3"/>
      <c r="F863" s="3"/>
      <c r="J863" s="3" t="str">
        <f>IFERROR(__xludf.DUMMYFUNCTION("""COMPUTED_VALUE"""),"")</f>
        <v/>
      </c>
      <c r="M863" s="3"/>
    </row>
    <row r="864">
      <c r="C864" s="3"/>
      <c r="D864" s="3"/>
      <c r="E864" s="3"/>
      <c r="F864" s="3"/>
      <c r="J864" s="3" t="str">
        <f>IFERROR(__xludf.DUMMYFUNCTION("""COMPUTED_VALUE"""),"")</f>
        <v/>
      </c>
      <c r="M864" s="3"/>
    </row>
    <row r="865">
      <c r="C865" s="3"/>
      <c r="D865" s="3"/>
      <c r="E865" s="3"/>
      <c r="F865" s="3"/>
      <c r="J865" s="3" t="str">
        <f>IFERROR(__xludf.DUMMYFUNCTION("""COMPUTED_VALUE"""),"")</f>
        <v/>
      </c>
      <c r="M865" s="3"/>
    </row>
    <row r="866">
      <c r="C866" s="3"/>
      <c r="D866" s="3"/>
      <c r="E866" s="3"/>
      <c r="F866" s="3"/>
      <c r="J866" s="3" t="str">
        <f>IFERROR(__xludf.DUMMYFUNCTION("""COMPUTED_VALUE"""),"")</f>
        <v/>
      </c>
      <c r="M866" s="3"/>
    </row>
    <row r="867">
      <c r="C867" s="3"/>
      <c r="D867" s="3"/>
      <c r="E867" s="3"/>
      <c r="F867" s="3"/>
      <c r="J867" s="3" t="str">
        <f>IFERROR(__xludf.DUMMYFUNCTION("""COMPUTED_VALUE"""),"")</f>
        <v/>
      </c>
      <c r="M867" s="3"/>
    </row>
    <row r="868">
      <c r="C868" s="3"/>
      <c r="D868" s="3"/>
      <c r="E868" s="3"/>
      <c r="F868" s="3"/>
      <c r="J868" s="3" t="str">
        <f>IFERROR(__xludf.DUMMYFUNCTION("""COMPUTED_VALUE"""),"")</f>
        <v/>
      </c>
      <c r="M868" s="3"/>
    </row>
    <row r="869">
      <c r="C869" s="3"/>
      <c r="D869" s="3"/>
      <c r="E869" s="3"/>
      <c r="F869" s="3"/>
      <c r="J869" s="3" t="str">
        <f>IFERROR(__xludf.DUMMYFUNCTION("""COMPUTED_VALUE"""),"")</f>
        <v/>
      </c>
      <c r="M869" s="3"/>
    </row>
    <row r="870">
      <c r="C870" s="3"/>
      <c r="D870" s="3"/>
      <c r="E870" s="3"/>
      <c r="F870" s="3"/>
      <c r="J870" s="3" t="str">
        <f>IFERROR(__xludf.DUMMYFUNCTION("""COMPUTED_VALUE"""),"")</f>
        <v/>
      </c>
      <c r="M870" s="3"/>
    </row>
    <row r="871">
      <c r="C871" s="3"/>
      <c r="D871" s="3"/>
      <c r="E871" s="3"/>
      <c r="F871" s="3"/>
      <c r="J871" s="3" t="str">
        <f>IFERROR(__xludf.DUMMYFUNCTION("""COMPUTED_VALUE"""),"")</f>
        <v/>
      </c>
      <c r="M871" s="3"/>
    </row>
    <row r="872">
      <c r="C872" s="3"/>
      <c r="D872" s="3"/>
      <c r="E872" s="3"/>
      <c r="F872" s="3"/>
      <c r="J872" s="3" t="str">
        <f>IFERROR(__xludf.DUMMYFUNCTION("""COMPUTED_VALUE"""),"")</f>
        <v/>
      </c>
      <c r="M872" s="3"/>
    </row>
    <row r="873">
      <c r="C873" s="3"/>
      <c r="D873" s="3"/>
      <c r="E873" s="3"/>
      <c r="F873" s="3"/>
      <c r="J873" s="3" t="str">
        <f>IFERROR(__xludf.DUMMYFUNCTION("""COMPUTED_VALUE"""),"")</f>
        <v/>
      </c>
      <c r="M873" s="3"/>
    </row>
    <row r="874">
      <c r="C874" s="3"/>
      <c r="D874" s="3"/>
      <c r="E874" s="3"/>
      <c r="F874" s="3"/>
      <c r="J874" s="3" t="str">
        <f>IFERROR(__xludf.DUMMYFUNCTION("""COMPUTED_VALUE"""),"")</f>
        <v/>
      </c>
      <c r="M874" s="3"/>
    </row>
    <row r="875">
      <c r="C875" s="3"/>
      <c r="D875" s="3"/>
      <c r="E875" s="3"/>
      <c r="F875" s="3"/>
      <c r="J875" s="3" t="str">
        <f>IFERROR(__xludf.DUMMYFUNCTION("""COMPUTED_VALUE"""),"")</f>
        <v/>
      </c>
      <c r="M875" s="3"/>
    </row>
    <row r="876">
      <c r="C876" s="3"/>
      <c r="D876" s="3"/>
      <c r="E876" s="3"/>
      <c r="F876" s="3"/>
      <c r="J876" s="3" t="str">
        <f>IFERROR(__xludf.DUMMYFUNCTION("""COMPUTED_VALUE"""),"")</f>
        <v/>
      </c>
      <c r="M876" s="3"/>
    </row>
    <row r="877">
      <c r="C877" s="3"/>
      <c r="D877" s="3"/>
      <c r="E877" s="3"/>
      <c r="F877" s="3"/>
      <c r="J877" s="3" t="str">
        <f>IFERROR(__xludf.DUMMYFUNCTION("""COMPUTED_VALUE"""),"")</f>
        <v/>
      </c>
      <c r="M877" s="3"/>
    </row>
    <row r="878">
      <c r="C878" s="3"/>
      <c r="D878" s="3"/>
      <c r="E878" s="3"/>
      <c r="F878" s="3"/>
      <c r="J878" s="3" t="str">
        <f>IFERROR(__xludf.DUMMYFUNCTION("""COMPUTED_VALUE"""),"")</f>
        <v/>
      </c>
      <c r="M878" s="3"/>
    </row>
    <row r="879">
      <c r="C879" s="3"/>
      <c r="D879" s="3"/>
      <c r="E879" s="3"/>
      <c r="F879" s="3"/>
      <c r="J879" s="3" t="str">
        <f>IFERROR(__xludf.DUMMYFUNCTION("""COMPUTED_VALUE"""),"")</f>
        <v/>
      </c>
      <c r="M879" s="3"/>
    </row>
    <row r="880">
      <c r="C880" s="3"/>
      <c r="D880" s="3"/>
      <c r="E880" s="3"/>
      <c r="F880" s="3"/>
      <c r="J880" s="3" t="str">
        <f>IFERROR(__xludf.DUMMYFUNCTION("""COMPUTED_VALUE"""),"")</f>
        <v/>
      </c>
      <c r="M880" s="3"/>
    </row>
    <row r="881">
      <c r="C881" s="3"/>
      <c r="D881" s="3"/>
      <c r="E881" s="3"/>
      <c r="F881" s="3"/>
      <c r="J881" s="3" t="str">
        <f>IFERROR(__xludf.DUMMYFUNCTION("""COMPUTED_VALUE"""),"")</f>
        <v/>
      </c>
      <c r="M881" s="3"/>
    </row>
    <row r="882">
      <c r="C882" s="3"/>
      <c r="D882" s="3"/>
      <c r="E882" s="3"/>
      <c r="F882" s="3"/>
      <c r="J882" s="3" t="str">
        <f>IFERROR(__xludf.DUMMYFUNCTION("""COMPUTED_VALUE"""),"")</f>
        <v/>
      </c>
      <c r="M882" s="3"/>
    </row>
    <row r="883">
      <c r="C883" s="3"/>
      <c r="D883" s="3"/>
      <c r="E883" s="3"/>
      <c r="F883" s="3"/>
      <c r="J883" s="3" t="str">
        <f>IFERROR(__xludf.DUMMYFUNCTION("""COMPUTED_VALUE"""),"")</f>
        <v/>
      </c>
      <c r="M883" s="3"/>
    </row>
    <row r="884">
      <c r="C884" s="3"/>
      <c r="D884" s="3"/>
      <c r="E884" s="3"/>
      <c r="F884" s="3"/>
      <c r="J884" s="3" t="str">
        <f>IFERROR(__xludf.DUMMYFUNCTION("""COMPUTED_VALUE"""),"")</f>
        <v/>
      </c>
      <c r="M884" s="3"/>
    </row>
    <row r="885">
      <c r="C885" s="3"/>
      <c r="D885" s="3"/>
      <c r="E885" s="3"/>
      <c r="F885" s="3"/>
      <c r="J885" s="3" t="str">
        <f>IFERROR(__xludf.DUMMYFUNCTION("""COMPUTED_VALUE"""),"")</f>
        <v/>
      </c>
      <c r="M885" s="3"/>
    </row>
    <row r="886">
      <c r="C886" s="3"/>
      <c r="D886" s="3"/>
      <c r="E886" s="3"/>
      <c r="F886" s="3"/>
      <c r="J886" s="3" t="str">
        <f>IFERROR(__xludf.DUMMYFUNCTION("""COMPUTED_VALUE"""),"")</f>
        <v/>
      </c>
      <c r="M886" s="3"/>
    </row>
    <row r="887">
      <c r="C887" s="3"/>
      <c r="D887" s="3"/>
      <c r="E887" s="3"/>
      <c r="F887" s="3"/>
      <c r="J887" s="3" t="str">
        <f>IFERROR(__xludf.DUMMYFUNCTION("""COMPUTED_VALUE"""),"")</f>
        <v/>
      </c>
      <c r="M887" s="3"/>
    </row>
    <row r="888">
      <c r="C888" s="3"/>
      <c r="D888" s="3"/>
      <c r="E888" s="3"/>
      <c r="F888" s="3"/>
      <c r="J888" s="3" t="str">
        <f>IFERROR(__xludf.DUMMYFUNCTION("""COMPUTED_VALUE"""),"")</f>
        <v/>
      </c>
      <c r="M888" s="3"/>
    </row>
    <row r="889">
      <c r="C889" s="3"/>
      <c r="D889" s="3"/>
      <c r="E889" s="3"/>
      <c r="F889" s="3"/>
      <c r="J889" s="3" t="str">
        <f>IFERROR(__xludf.DUMMYFUNCTION("""COMPUTED_VALUE"""),"")</f>
        <v/>
      </c>
      <c r="M889" s="3"/>
    </row>
    <row r="890">
      <c r="C890" s="3"/>
      <c r="D890" s="3"/>
      <c r="E890" s="3"/>
      <c r="F890" s="3"/>
      <c r="J890" s="3" t="str">
        <f>IFERROR(__xludf.DUMMYFUNCTION("""COMPUTED_VALUE"""),"")</f>
        <v/>
      </c>
      <c r="M890" s="3"/>
    </row>
    <row r="891">
      <c r="C891" s="3"/>
      <c r="D891" s="3"/>
      <c r="E891" s="3"/>
      <c r="F891" s="3"/>
      <c r="J891" s="3" t="str">
        <f>IFERROR(__xludf.DUMMYFUNCTION("""COMPUTED_VALUE"""),"")</f>
        <v/>
      </c>
      <c r="M891" s="3"/>
    </row>
    <row r="892">
      <c r="C892" s="3"/>
      <c r="D892" s="3"/>
      <c r="E892" s="3"/>
      <c r="F892" s="3"/>
      <c r="J892" s="3" t="str">
        <f>IFERROR(__xludf.DUMMYFUNCTION("""COMPUTED_VALUE"""),"")</f>
        <v/>
      </c>
      <c r="M892" s="3"/>
    </row>
    <row r="893">
      <c r="C893" s="3"/>
      <c r="D893" s="3"/>
      <c r="E893" s="3"/>
      <c r="F893" s="3"/>
      <c r="J893" s="3" t="str">
        <f>IFERROR(__xludf.DUMMYFUNCTION("""COMPUTED_VALUE"""),"")</f>
        <v/>
      </c>
      <c r="M893" s="3"/>
    </row>
    <row r="894">
      <c r="C894" s="3"/>
      <c r="D894" s="3"/>
      <c r="E894" s="3"/>
      <c r="F894" s="3"/>
      <c r="J894" s="3" t="str">
        <f>IFERROR(__xludf.DUMMYFUNCTION("""COMPUTED_VALUE"""),"")</f>
        <v/>
      </c>
      <c r="M894" s="3"/>
    </row>
    <row r="895">
      <c r="C895" s="3"/>
      <c r="D895" s="3"/>
      <c r="E895" s="3"/>
      <c r="F895" s="3"/>
      <c r="J895" s="3" t="str">
        <f>IFERROR(__xludf.DUMMYFUNCTION("""COMPUTED_VALUE"""),"")</f>
        <v/>
      </c>
      <c r="M895" s="3"/>
    </row>
    <row r="896">
      <c r="C896" s="3"/>
      <c r="D896" s="3"/>
      <c r="E896" s="3"/>
      <c r="F896" s="3"/>
      <c r="J896" s="3" t="str">
        <f>IFERROR(__xludf.DUMMYFUNCTION("""COMPUTED_VALUE"""),"")</f>
        <v/>
      </c>
      <c r="M896" s="3"/>
    </row>
    <row r="897">
      <c r="C897" s="3"/>
      <c r="D897" s="3"/>
      <c r="E897" s="3"/>
      <c r="F897" s="3"/>
      <c r="J897" s="3" t="str">
        <f>IFERROR(__xludf.DUMMYFUNCTION("""COMPUTED_VALUE"""),"")</f>
        <v/>
      </c>
      <c r="M897" s="3"/>
    </row>
    <row r="898">
      <c r="C898" s="3"/>
      <c r="D898" s="3"/>
      <c r="E898" s="3"/>
      <c r="F898" s="3"/>
      <c r="J898" s="3" t="str">
        <f>IFERROR(__xludf.DUMMYFUNCTION("""COMPUTED_VALUE"""),"")</f>
        <v/>
      </c>
      <c r="M898" s="3"/>
    </row>
    <row r="899">
      <c r="C899" s="3"/>
      <c r="D899" s="3"/>
      <c r="E899" s="3"/>
      <c r="F899" s="3"/>
      <c r="J899" s="3" t="str">
        <f>IFERROR(__xludf.DUMMYFUNCTION("""COMPUTED_VALUE"""),"")</f>
        <v/>
      </c>
      <c r="M899" s="3"/>
    </row>
    <row r="900">
      <c r="C900" s="3"/>
      <c r="D900" s="3"/>
      <c r="E900" s="3"/>
      <c r="F900" s="3"/>
      <c r="J900" s="3" t="str">
        <f>IFERROR(__xludf.DUMMYFUNCTION("""COMPUTED_VALUE"""),"")</f>
        <v/>
      </c>
      <c r="M900" s="3"/>
    </row>
    <row r="901">
      <c r="C901" s="3"/>
      <c r="D901" s="3"/>
      <c r="E901" s="3"/>
      <c r="F901" s="3"/>
      <c r="J901" s="3" t="str">
        <f>IFERROR(__xludf.DUMMYFUNCTION("""COMPUTED_VALUE"""),"")</f>
        <v/>
      </c>
      <c r="M901" s="3"/>
    </row>
    <row r="902">
      <c r="C902" s="3"/>
      <c r="D902" s="3"/>
      <c r="E902" s="3"/>
      <c r="F902" s="3"/>
      <c r="J902" s="3" t="str">
        <f>IFERROR(__xludf.DUMMYFUNCTION("""COMPUTED_VALUE"""),"")</f>
        <v/>
      </c>
      <c r="M902" s="3"/>
    </row>
    <row r="903">
      <c r="C903" s="3"/>
      <c r="D903" s="3"/>
      <c r="E903" s="3"/>
      <c r="F903" s="3"/>
      <c r="J903" s="3" t="str">
        <f>IFERROR(__xludf.DUMMYFUNCTION("""COMPUTED_VALUE"""),"")</f>
        <v/>
      </c>
      <c r="M903" s="3"/>
    </row>
    <row r="904">
      <c r="C904" s="3"/>
      <c r="D904" s="3"/>
      <c r="E904" s="3"/>
      <c r="F904" s="3"/>
      <c r="J904" s="3" t="str">
        <f>IFERROR(__xludf.DUMMYFUNCTION("""COMPUTED_VALUE"""),"")</f>
        <v/>
      </c>
      <c r="M904" s="3"/>
    </row>
    <row r="905">
      <c r="C905" s="3"/>
      <c r="D905" s="3"/>
      <c r="E905" s="3"/>
      <c r="F905" s="3"/>
      <c r="J905" s="3" t="str">
        <f>IFERROR(__xludf.DUMMYFUNCTION("""COMPUTED_VALUE"""),"")</f>
        <v/>
      </c>
      <c r="M905" s="3"/>
    </row>
    <row r="906">
      <c r="C906" s="3"/>
      <c r="D906" s="3"/>
      <c r="E906" s="3"/>
      <c r="F906" s="3"/>
      <c r="J906" s="3" t="str">
        <f>IFERROR(__xludf.DUMMYFUNCTION("""COMPUTED_VALUE"""),"")</f>
        <v/>
      </c>
      <c r="M906" s="3"/>
    </row>
    <row r="907">
      <c r="C907" s="3"/>
      <c r="D907" s="3"/>
      <c r="E907" s="3"/>
      <c r="F907" s="3"/>
      <c r="J907" s="3" t="str">
        <f>IFERROR(__xludf.DUMMYFUNCTION("""COMPUTED_VALUE"""),"")</f>
        <v/>
      </c>
      <c r="M907" s="3"/>
    </row>
    <row r="908">
      <c r="C908" s="3"/>
      <c r="D908" s="3"/>
      <c r="E908" s="3"/>
      <c r="F908" s="3"/>
      <c r="J908" s="3" t="str">
        <f>IFERROR(__xludf.DUMMYFUNCTION("""COMPUTED_VALUE"""),"")</f>
        <v/>
      </c>
      <c r="M908" s="3"/>
    </row>
    <row r="909">
      <c r="C909" s="3"/>
      <c r="D909" s="3"/>
      <c r="E909" s="3"/>
      <c r="F909" s="3"/>
      <c r="J909" s="3" t="str">
        <f>IFERROR(__xludf.DUMMYFUNCTION("""COMPUTED_VALUE"""),"")</f>
        <v/>
      </c>
      <c r="M909" s="3"/>
    </row>
    <row r="910">
      <c r="C910" s="3"/>
      <c r="D910" s="3"/>
      <c r="E910" s="3"/>
      <c r="F910" s="3"/>
      <c r="J910" s="3" t="str">
        <f>IFERROR(__xludf.DUMMYFUNCTION("""COMPUTED_VALUE"""),"")</f>
        <v/>
      </c>
      <c r="M910" s="3"/>
    </row>
    <row r="911">
      <c r="C911" s="3"/>
      <c r="D911" s="3"/>
      <c r="E911" s="3"/>
      <c r="F911" s="3"/>
      <c r="J911" s="3" t="str">
        <f>IFERROR(__xludf.DUMMYFUNCTION("""COMPUTED_VALUE"""),"")</f>
        <v/>
      </c>
      <c r="M911" s="3"/>
    </row>
    <row r="912">
      <c r="C912" s="3"/>
      <c r="D912" s="3"/>
      <c r="E912" s="3"/>
      <c r="F912" s="3"/>
      <c r="J912" s="3" t="str">
        <f>IFERROR(__xludf.DUMMYFUNCTION("""COMPUTED_VALUE"""),"")</f>
        <v/>
      </c>
      <c r="M912" s="3"/>
    </row>
    <row r="913">
      <c r="C913" s="3"/>
      <c r="D913" s="3"/>
      <c r="E913" s="3"/>
      <c r="F913" s="3"/>
      <c r="J913" s="3" t="str">
        <f>IFERROR(__xludf.DUMMYFUNCTION("""COMPUTED_VALUE"""),"")</f>
        <v/>
      </c>
      <c r="M913" s="3"/>
    </row>
    <row r="914">
      <c r="C914" s="3"/>
      <c r="D914" s="3"/>
      <c r="E914" s="3"/>
      <c r="F914" s="3"/>
      <c r="J914" s="3" t="str">
        <f>IFERROR(__xludf.DUMMYFUNCTION("""COMPUTED_VALUE"""),"")</f>
        <v/>
      </c>
      <c r="M914" s="3"/>
    </row>
    <row r="915">
      <c r="C915" s="3"/>
      <c r="D915" s="3"/>
      <c r="E915" s="3"/>
      <c r="F915" s="3"/>
      <c r="J915" s="3" t="str">
        <f>IFERROR(__xludf.DUMMYFUNCTION("""COMPUTED_VALUE"""),"")</f>
        <v/>
      </c>
      <c r="M915" s="3"/>
    </row>
    <row r="916">
      <c r="C916" s="3"/>
      <c r="D916" s="3"/>
      <c r="E916" s="3"/>
      <c r="F916" s="3"/>
      <c r="J916" s="3" t="str">
        <f>IFERROR(__xludf.DUMMYFUNCTION("""COMPUTED_VALUE"""),"")</f>
        <v/>
      </c>
      <c r="M916" s="3"/>
    </row>
    <row r="917">
      <c r="C917" s="3"/>
      <c r="D917" s="3"/>
      <c r="E917" s="3"/>
      <c r="F917" s="3"/>
      <c r="J917" s="3" t="str">
        <f>IFERROR(__xludf.DUMMYFUNCTION("""COMPUTED_VALUE"""),"")</f>
        <v/>
      </c>
      <c r="M917" s="3"/>
    </row>
    <row r="918">
      <c r="C918" s="3"/>
      <c r="D918" s="3"/>
      <c r="E918" s="3"/>
      <c r="F918" s="3"/>
      <c r="J918" s="3" t="str">
        <f>IFERROR(__xludf.DUMMYFUNCTION("""COMPUTED_VALUE"""),"")</f>
        <v/>
      </c>
      <c r="M918" s="3"/>
    </row>
    <row r="919">
      <c r="C919" s="3"/>
      <c r="D919" s="3"/>
      <c r="E919" s="3"/>
      <c r="F919" s="3"/>
      <c r="J919" s="3" t="str">
        <f>IFERROR(__xludf.DUMMYFUNCTION("""COMPUTED_VALUE"""),"")</f>
        <v/>
      </c>
      <c r="M919" s="3"/>
    </row>
    <row r="920">
      <c r="C920" s="3"/>
      <c r="D920" s="3"/>
      <c r="E920" s="3"/>
      <c r="F920" s="3"/>
      <c r="J920" s="3" t="str">
        <f>IFERROR(__xludf.DUMMYFUNCTION("""COMPUTED_VALUE"""),"")</f>
        <v/>
      </c>
      <c r="M920" s="3"/>
    </row>
    <row r="921">
      <c r="C921" s="3"/>
      <c r="D921" s="3"/>
      <c r="E921" s="3"/>
      <c r="F921" s="3"/>
      <c r="J921" s="3" t="str">
        <f>IFERROR(__xludf.DUMMYFUNCTION("""COMPUTED_VALUE"""),"")</f>
        <v/>
      </c>
      <c r="M921" s="3"/>
    </row>
    <row r="922">
      <c r="C922" s="3"/>
      <c r="D922" s="3"/>
      <c r="E922" s="3"/>
      <c r="F922" s="3"/>
      <c r="J922" s="3" t="str">
        <f>IFERROR(__xludf.DUMMYFUNCTION("""COMPUTED_VALUE"""),"")</f>
        <v/>
      </c>
      <c r="M922" s="3"/>
    </row>
    <row r="923">
      <c r="C923" s="3"/>
      <c r="D923" s="3"/>
      <c r="E923" s="3"/>
      <c r="F923" s="3"/>
      <c r="J923" s="3" t="str">
        <f>IFERROR(__xludf.DUMMYFUNCTION("""COMPUTED_VALUE"""),"")</f>
        <v/>
      </c>
      <c r="M923" s="3"/>
    </row>
    <row r="924">
      <c r="C924" s="3"/>
      <c r="D924" s="3"/>
      <c r="E924" s="3"/>
      <c r="F924" s="3"/>
      <c r="J924" s="3" t="str">
        <f>IFERROR(__xludf.DUMMYFUNCTION("""COMPUTED_VALUE"""),"")</f>
        <v/>
      </c>
      <c r="M924" s="3"/>
    </row>
    <row r="925">
      <c r="C925" s="3"/>
      <c r="D925" s="3"/>
      <c r="E925" s="3"/>
      <c r="F925" s="3"/>
      <c r="J925" s="3" t="str">
        <f>IFERROR(__xludf.DUMMYFUNCTION("""COMPUTED_VALUE"""),"")</f>
        <v/>
      </c>
      <c r="M925" s="3"/>
    </row>
    <row r="926">
      <c r="C926" s="3"/>
      <c r="D926" s="3"/>
      <c r="E926" s="3"/>
      <c r="F926" s="3"/>
      <c r="J926" s="3" t="str">
        <f>IFERROR(__xludf.DUMMYFUNCTION("""COMPUTED_VALUE"""),"")</f>
        <v/>
      </c>
      <c r="M926" s="3"/>
    </row>
    <row r="927">
      <c r="C927" s="3"/>
      <c r="D927" s="3"/>
      <c r="E927" s="3"/>
      <c r="F927" s="3"/>
      <c r="J927" s="3" t="str">
        <f>IFERROR(__xludf.DUMMYFUNCTION("""COMPUTED_VALUE"""),"")</f>
        <v/>
      </c>
      <c r="M927" s="3"/>
    </row>
    <row r="928">
      <c r="C928" s="3"/>
      <c r="D928" s="3"/>
      <c r="E928" s="3"/>
      <c r="F928" s="3"/>
      <c r="J928" s="3" t="str">
        <f>IFERROR(__xludf.DUMMYFUNCTION("""COMPUTED_VALUE"""),"")</f>
        <v/>
      </c>
      <c r="M928" s="3"/>
    </row>
    <row r="929">
      <c r="C929" s="3"/>
      <c r="D929" s="3"/>
      <c r="E929" s="3"/>
      <c r="F929" s="3"/>
      <c r="J929" s="3" t="str">
        <f>IFERROR(__xludf.DUMMYFUNCTION("""COMPUTED_VALUE"""),"")</f>
        <v/>
      </c>
      <c r="M929" s="3"/>
    </row>
    <row r="930">
      <c r="C930" s="3"/>
      <c r="D930" s="3"/>
      <c r="E930" s="3"/>
      <c r="F930" s="3"/>
      <c r="J930" s="3" t="str">
        <f>IFERROR(__xludf.DUMMYFUNCTION("""COMPUTED_VALUE"""),"")</f>
        <v/>
      </c>
      <c r="M930" s="3"/>
    </row>
    <row r="931">
      <c r="C931" s="3"/>
      <c r="D931" s="3"/>
      <c r="E931" s="3"/>
      <c r="F931" s="3"/>
      <c r="J931" s="3" t="str">
        <f>IFERROR(__xludf.DUMMYFUNCTION("""COMPUTED_VALUE"""),"")</f>
        <v/>
      </c>
      <c r="M931" s="3"/>
    </row>
    <row r="932">
      <c r="C932" s="3"/>
      <c r="D932" s="3"/>
      <c r="E932" s="3"/>
      <c r="F932" s="3"/>
      <c r="J932" s="3" t="str">
        <f>IFERROR(__xludf.DUMMYFUNCTION("""COMPUTED_VALUE"""),"")</f>
        <v/>
      </c>
      <c r="M932" s="3"/>
    </row>
    <row r="933">
      <c r="C933" s="3"/>
      <c r="D933" s="3"/>
      <c r="E933" s="3"/>
      <c r="F933" s="3"/>
      <c r="J933" s="3" t="str">
        <f>IFERROR(__xludf.DUMMYFUNCTION("""COMPUTED_VALUE"""),"")</f>
        <v/>
      </c>
      <c r="M933" s="3"/>
    </row>
    <row r="934">
      <c r="C934" s="3"/>
      <c r="D934" s="3"/>
      <c r="E934" s="3"/>
      <c r="F934" s="3"/>
      <c r="J934" s="3" t="str">
        <f>IFERROR(__xludf.DUMMYFUNCTION("""COMPUTED_VALUE"""),"")</f>
        <v/>
      </c>
      <c r="M934" s="3"/>
    </row>
    <row r="935">
      <c r="C935" s="3"/>
      <c r="D935" s="3"/>
      <c r="E935" s="3"/>
      <c r="F935" s="3"/>
      <c r="J935" s="3" t="str">
        <f>IFERROR(__xludf.DUMMYFUNCTION("""COMPUTED_VALUE"""),"")</f>
        <v/>
      </c>
      <c r="M935" s="3"/>
    </row>
    <row r="936">
      <c r="C936" s="3"/>
      <c r="D936" s="3"/>
      <c r="E936" s="3"/>
      <c r="F936" s="3"/>
      <c r="J936" s="3" t="str">
        <f>IFERROR(__xludf.DUMMYFUNCTION("""COMPUTED_VALUE"""),"")</f>
        <v/>
      </c>
      <c r="M936" s="3"/>
    </row>
    <row r="937">
      <c r="C937" s="3"/>
      <c r="D937" s="3"/>
      <c r="E937" s="3"/>
      <c r="F937" s="3"/>
      <c r="J937" s="3" t="str">
        <f>IFERROR(__xludf.DUMMYFUNCTION("""COMPUTED_VALUE"""),"")</f>
        <v/>
      </c>
      <c r="M937" s="3"/>
    </row>
    <row r="938">
      <c r="C938" s="3"/>
      <c r="D938" s="3"/>
      <c r="E938" s="3"/>
      <c r="F938" s="3"/>
      <c r="J938" s="3" t="str">
        <f>IFERROR(__xludf.DUMMYFUNCTION("""COMPUTED_VALUE"""),"")</f>
        <v/>
      </c>
      <c r="M938" s="3"/>
    </row>
    <row r="939">
      <c r="C939" s="3"/>
      <c r="D939" s="3"/>
      <c r="E939" s="3"/>
      <c r="F939" s="3"/>
      <c r="J939" s="3" t="str">
        <f>IFERROR(__xludf.DUMMYFUNCTION("""COMPUTED_VALUE"""),"")</f>
        <v/>
      </c>
      <c r="M939" s="3"/>
    </row>
    <row r="940">
      <c r="C940" s="3"/>
      <c r="D940" s="3"/>
      <c r="E940" s="3"/>
      <c r="F940" s="3"/>
      <c r="J940" s="3" t="str">
        <f>IFERROR(__xludf.DUMMYFUNCTION("""COMPUTED_VALUE"""),"")</f>
        <v/>
      </c>
      <c r="M940" s="3"/>
    </row>
    <row r="941">
      <c r="C941" s="3"/>
      <c r="D941" s="3"/>
      <c r="E941" s="3"/>
      <c r="F941" s="3"/>
      <c r="J941" s="3" t="str">
        <f>IFERROR(__xludf.DUMMYFUNCTION("""COMPUTED_VALUE"""),"")</f>
        <v/>
      </c>
      <c r="M941" s="3"/>
    </row>
    <row r="942">
      <c r="C942" s="3"/>
      <c r="D942" s="3"/>
      <c r="E942" s="3"/>
      <c r="F942" s="3"/>
      <c r="J942" s="3" t="str">
        <f>IFERROR(__xludf.DUMMYFUNCTION("""COMPUTED_VALUE"""),"")</f>
        <v/>
      </c>
      <c r="M942" s="3"/>
    </row>
    <row r="943">
      <c r="C943" s="3"/>
      <c r="D943" s="3"/>
      <c r="E943" s="3"/>
      <c r="F943" s="3"/>
      <c r="J943" s="3" t="str">
        <f>IFERROR(__xludf.DUMMYFUNCTION("""COMPUTED_VALUE"""),"")</f>
        <v/>
      </c>
      <c r="M943" s="3"/>
    </row>
    <row r="944">
      <c r="C944" s="3"/>
      <c r="D944" s="3"/>
      <c r="E944" s="3"/>
      <c r="F944" s="3"/>
      <c r="J944" s="3" t="str">
        <f>IFERROR(__xludf.DUMMYFUNCTION("""COMPUTED_VALUE"""),"")</f>
        <v/>
      </c>
      <c r="M944" s="3"/>
    </row>
    <row r="945">
      <c r="C945" s="3"/>
      <c r="D945" s="3"/>
      <c r="E945" s="3"/>
      <c r="F945" s="3"/>
      <c r="J945" s="3" t="str">
        <f>IFERROR(__xludf.DUMMYFUNCTION("""COMPUTED_VALUE"""),"")</f>
        <v/>
      </c>
      <c r="M945" s="3"/>
    </row>
    <row r="946">
      <c r="C946" s="3"/>
      <c r="D946" s="3"/>
      <c r="E946" s="3"/>
      <c r="F946" s="3"/>
      <c r="J946" s="3" t="str">
        <f>IFERROR(__xludf.DUMMYFUNCTION("""COMPUTED_VALUE"""),"")</f>
        <v/>
      </c>
      <c r="M946" s="3"/>
    </row>
    <row r="947">
      <c r="C947" s="3"/>
      <c r="D947" s="3"/>
      <c r="E947" s="3"/>
      <c r="F947" s="3"/>
      <c r="J947" s="3" t="str">
        <f>IFERROR(__xludf.DUMMYFUNCTION("""COMPUTED_VALUE"""),"")</f>
        <v/>
      </c>
      <c r="M947" s="3"/>
    </row>
    <row r="948">
      <c r="C948" s="3"/>
      <c r="D948" s="3"/>
      <c r="E948" s="3"/>
      <c r="F948" s="3"/>
      <c r="J948" s="3" t="str">
        <f>IFERROR(__xludf.DUMMYFUNCTION("""COMPUTED_VALUE"""),"")</f>
        <v/>
      </c>
      <c r="M948" s="3"/>
    </row>
    <row r="949">
      <c r="C949" s="3"/>
      <c r="D949" s="3"/>
      <c r="E949" s="3"/>
      <c r="F949" s="3"/>
      <c r="J949" s="3" t="str">
        <f>IFERROR(__xludf.DUMMYFUNCTION("""COMPUTED_VALUE"""),"")</f>
        <v/>
      </c>
      <c r="M949" s="3"/>
    </row>
    <row r="950">
      <c r="C950" s="3"/>
      <c r="D950" s="3"/>
      <c r="E950" s="3"/>
      <c r="F950" s="3"/>
      <c r="J950" s="3" t="str">
        <f>IFERROR(__xludf.DUMMYFUNCTION("""COMPUTED_VALUE"""),"")</f>
        <v/>
      </c>
      <c r="M950" s="3"/>
    </row>
    <row r="951">
      <c r="C951" s="3"/>
      <c r="D951" s="3"/>
      <c r="E951" s="3"/>
      <c r="F951" s="3"/>
      <c r="J951" s="3" t="str">
        <f>IFERROR(__xludf.DUMMYFUNCTION("""COMPUTED_VALUE"""),"")</f>
        <v/>
      </c>
      <c r="M951" s="3"/>
    </row>
    <row r="952">
      <c r="C952" s="3"/>
      <c r="D952" s="3"/>
      <c r="E952" s="3"/>
      <c r="F952" s="3"/>
      <c r="J952" s="3" t="str">
        <f>IFERROR(__xludf.DUMMYFUNCTION("""COMPUTED_VALUE"""),"")</f>
        <v/>
      </c>
      <c r="M952" s="3"/>
    </row>
    <row r="953">
      <c r="C953" s="3"/>
      <c r="D953" s="3"/>
      <c r="E953" s="3"/>
      <c r="F953" s="3"/>
      <c r="J953" s="3" t="str">
        <f>IFERROR(__xludf.DUMMYFUNCTION("""COMPUTED_VALUE"""),"")</f>
        <v/>
      </c>
      <c r="M953" s="3"/>
    </row>
    <row r="954">
      <c r="C954" s="3"/>
      <c r="D954" s="3"/>
      <c r="E954" s="3"/>
      <c r="F954" s="3"/>
      <c r="J954" s="3" t="str">
        <f>IFERROR(__xludf.DUMMYFUNCTION("""COMPUTED_VALUE"""),"")</f>
        <v/>
      </c>
      <c r="M954" s="3"/>
    </row>
    <row r="955">
      <c r="C955" s="3"/>
      <c r="D955" s="3"/>
      <c r="E955" s="3"/>
      <c r="F955" s="3"/>
      <c r="J955" s="3" t="str">
        <f>IFERROR(__xludf.DUMMYFUNCTION("""COMPUTED_VALUE"""),"")</f>
        <v/>
      </c>
      <c r="M955" s="3"/>
    </row>
    <row r="956">
      <c r="C956" s="3"/>
      <c r="D956" s="3"/>
      <c r="E956" s="3"/>
      <c r="F956" s="3"/>
      <c r="J956" s="3" t="str">
        <f>IFERROR(__xludf.DUMMYFUNCTION("""COMPUTED_VALUE"""),"")</f>
        <v/>
      </c>
      <c r="M956" s="3"/>
    </row>
    <row r="957">
      <c r="C957" s="3"/>
      <c r="D957" s="3"/>
      <c r="E957" s="3"/>
      <c r="F957" s="3"/>
      <c r="J957" s="3" t="str">
        <f>IFERROR(__xludf.DUMMYFUNCTION("""COMPUTED_VALUE"""),"")</f>
        <v/>
      </c>
      <c r="M957" s="3"/>
    </row>
    <row r="958">
      <c r="C958" s="3"/>
      <c r="D958" s="3"/>
      <c r="E958" s="3"/>
      <c r="F958" s="3"/>
      <c r="J958" s="3" t="str">
        <f>IFERROR(__xludf.DUMMYFUNCTION("""COMPUTED_VALUE"""),"")</f>
        <v/>
      </c>
      <c r="M958" s="3"/>
    </row>
    <row r="959">
      <c r="C959" s="3"/>
      <c r="D959" s="3"/>
      <c r="E959" s="3"/>
      <c r="F959" s="3"/>
      <c r="J959" s="3" t="str">
        <f>IFERROR(__xludf.DUMMYFUNCTION("""COMPUTED_VALUE"""),"")</f>
        <v/>
      </c>
      <c r="M959" s="3"/>
    </row>
    <row r="960">
      <c r="C960" s="3"/>
      <c r="D960" s="3"/>
      <c r="E960" s="3"/>
      <c r="F960" s="3"/>
      <c r="J960" s="3" t="str">
        <f>IFERROR(__xludf.DUMMYFUNCTION("""COMPUTED_VALUE"""),"")</f>
        <v/>
      </c>
      <c r="M960" s="3"/>
    </row>
    <row r="961">
      <c r="C961" s="3"/>
      <c r="D961" s="3"/>
      <c r="E961" s="3"/>
      <c r="F961" s="3"/>
      <c r="J961" s="3" t="str">
        <f>IFERROR(__xludf.DUMMYFUNCTION("""COMPUTED_VALUE"""),"")</f>
        <v/>
      </c>
      <c r="M961" s="3"/>
    </row>
    <row r="962">
      <c r="C962" s="3"/>
      <c r="D962" s="3"/>
      <c r="E962" s="3"/>
      <c r="F962" s="3"/>
      <c r="J962" s="3" t="str">
        <f>IFERROR(__xludf.DUMMYFUNCTION("""COMPUTED_VALUE"""),"")</f>
        <v/>
      </c>
      <c r="M962" s="3"/>
    </row>
    <row r="963">
      <c r="C963" s="3"/>
      <c r="D963" s="3"/>
      <c r="E963" s="3"/>
      <c r="F963" s="3"/>
      <c r="J963" s="3" t="str">
        <f>IFERROR(__xludf.DUMMYFUNCTION("""COMPUTED_VALUE"""),"")</f>
        <v/>
      </c>
      <c r="M963" s="3"/>
    </row>
    <row r="964">
      <c r="C964" s="3"/>
      <c r="D964" s="3"/>
      <c r="E964" s="3"/>
      <c r="F964" s="3"/>
      <c r="J964" s="3" t="str">
        <f>IFERROR(__xludf.DUMMYFUNCTION("""COMPUTED_VALUE"""),"")</f>
        <v/>
      </c>
      <c r="M964" s="3"/>
    </row>
    <row r="965">
      <c r="C965" s="3"/>
      <c r="D965" s="3"/>
      <c r="E965" s="3"/>
      <c r="F965" s="3"/>
      <c r="J965" s="3" t="str">
        <f>IFERROR(__xludf.DUMMYFUNCTION("""COMPUTED_VALUE"""),"")</f>
        <v/>
      </c>
      <c r="M965" s="3"/>
    </row>
    <row r="966">
      <c r="C966" s="3"/>
      <c r="D966" s="3"/>
      <c r="E966" s="3"/>
      <c r="F966" s="3"/>
      <c r="J966" s="3" t="str">
        <f>IFERROR(__xludf.DUMMYFUNCTION("""COMPUTED_VALUE"""),"")</f>
        <v/>
      </c>
      <c r="M966" s="3"/>
    </row>
    <row r="967">
      <c r="C967" s="3"/>
      <c r="D967" s="3"/>
      <c r="E967" s="3"/>
      <c r="F967" s="3"/>
      <c r="J967" s="3" t="str">
        <f>IFERROR(__xludf.DUMMYFUNCTION("""COMPUTED_VALUE"""),"")</f>
        <v/>
      </c>
      <c r="M967" s="3"/>
    </row>
    <row r="968">
      <c r="C968" s="3"/>
      <c r="D968" s="3"/>
      <c r="E968" s="3"/>
      <c r="F968" s="3"/>
      <c r="J968" s="3" t="str">
        <f>IFERROR(__xludf.DUMMYFUNCTION("""COMPUTED_VALUE"""),"")</f>
        <v/>
      </c>
      <c r="M968" s="3"/>
    </row>
    <row r="969">
      <c r="C969" s="3"/>
      <c r="D969" s="3"/>
      <c r="E969" s="3"/>
      <c r="F969" s="3"/>
      <c r="J969" s="3" t="str">
        <f>IFERROR(__xludf.DUMMYFUNCTION("""COMPUTED_VALUE"""),"")</f>
        <v/>
      </c>
      <c r="M969" s="3"/>
    </row>
    <row r="970">
      <c r="C970" s="3"/>
      <c r="D970" s="3"/>
      <c r="E970" s="3"/>
      <c r="F970" s="3"/>
      <c r="J970" s="3" t="str">
        <f>IFERROR(__xludf.DUMMYFUNCTION("""COMPUTED_VALUE"""),"")</f>
        <v/>
      </c>
      <c r="M970" s="3"/>
    </row>
    <row r="971">
      <c r="C971" s="3"/>
      <c r="D971" s="3"/>
      <c r="E971" s="3"/>
      <c r="F971" s="3"/>
      <c r="J971" s="3" t="str">
        <f>IFERROR(__xludf.DUMMYFUNCTION("""COMPUTED_VALUE"""),"")</f>
        <v/>
      </c>
      <c r="M971" s="3"/>
    </row>
    <row r="972">
      <c r="C972" s="3"/>
      <c r="D972" s="3"/>
      <c r="E972" s="3"/>
      <c r="F972" s="3"/>
      <c r="J972" s="3" t="str">
        <f>IFERROR(__xludf.DUMMYFUNCTION("""COMPUTED_VALUE"""),"")</f>
        <v/>
      </c>
      <c r="M972" s="3"/>
    </row>
    <row r="973">
      <c r="C973" s="3"/>
      <c r="D973" s="3"/>
      <c r="E973" s="3"/>
      <c r="F973" s="3"/>
      <c r="J973" s="3" t="str">
        <f>IFERROR(__xludf.DUMMYFUNCTION("""COMPUTED_VALUE"""),"")</f>
        <v/>
      </c>
      <c r="M973" s="3"/>
    </row>
    <row r="974">
      <c r="C974" s="3"/>
      <c r="D974" s="3"/>
      <c r="E974" s="3"/>
      <c r="F974" s="3"/>
      <c r="J974" s="3" t="str">
        <f>IFERROR(__xludf.DUMMYFUNCTION("""COMPUTED_VALUE"""),"")</f>
        <v/>
      </c>
      <c r="M974" s="3"/>
    </row>
    <row r="975">
      <c r="C975" s="3"/>
      <c r="D975" s="3"/>
      <c r="E975" s="3"/>
      <c r="F975" s="3"/>
      <c r="J975" s="3" t="str">
        <f>IFERROR(__xludf.DUMMYFUNCTION("""COMPUTED_VALUE"""),"")</f>
        <v/>
      </c>
      <c r="M975" s="3"/>
    </row>
    <row r="976">
      <c r="C976" s="3"/>
      <c r="D976" s="3"/>
      <c r="E976" s="3"/>
      <c r="F976" s="3"/>
      <c r="J976" s="3" t="str">
        <f>IFERROR(__xludf.DUMMYFUNCTION("""COMPUTED_VALUE"""),"")</f>
        <v/>
      </c>
      <c r="M976" s="3"/>
    </row>
    <row r="977">
      <c r="C977" s="3"/>
      <c r="D977" s="3"/>
      <c r="E977" s="3"/>
      <c r="F977" s="3"/>
      <c r="J977" s="3" t="str">
        <f>IFERROR(__xludf.DUMMYFUNCTION("""COMPUTED_VALUE"""),"")</f>
        <v/>
      </c>
      <c r="M977" s="3"/>
    </row>
    <row r="978">
      <c r="C978" s="3"/>
      <c r="D978" s="3"/>
      <c r="E978" s="3"/>
      <c r="F978" s="3"/>
      <c r="J978" s="3" t="str">
        <f>IFERROR(__xludf.DUMMYFUNCTION("""COMPUTED_VALUE"""),"")</f>
        <v/>
      </c>
      <c r="M978" s="3"/>
    </row>
    <row r="979">
      <c r="C979" s="3"/>
      <c r="D979" s="3"/>
      <c r="E979" s="3"/>
      <c r="F979" s="3"/>
      <c r="J979" s="3" t="str">
        <f>IFERROR(__xludf.DUMMYFUNCTION("""COMPUTED_VALUE"""),"")</f>
        <v/>
      </c>
      <c r="M979" s="3"/>
    </row>
    <row r="980">
      <c r="C980" s="3"/>
      <c r="D980" s="3"/>
      <c r="E980" s="3"/>
      <c r="F980" s="3"/>
      <c r="J980" s="3" t="str">
        <f>IFERROR(__xludf.DUMMYFUNCTION("""COMPUTED_VALUE"""),"")</f>
        <v/>
      </c>
      <c r="M980" s="3"/>
    </row>
    <row r="981">
      <c r="C981" s="3"/>
      <c r="D981" s="3"/>
      <c r="E981" s="3"/>
      <c r="F981" s="3"/>
      <c r="J981" s="3" t="str">
        <f>IFERROR(__xludf.DUMMYFUNCTION("""COMPUTED_VALUE"""),"")</f>
        <v/>
      </c>
      <c r="M981" s="3"/>
    </row>
    <row r="982">
      <c r="C982" s="3"/>
      <c r="D982" s="3"/>
      <c r="E982" s="3"/>
      <c r="F982" s="3"/>
      <c r="J982" s="3" t="str">
        <f>IFERROR(__xludf.DUMMYFUNCTION("""COMPUTED_VALUE"""),"")</f>
        <v/>
      </c>
      <c r="M982" s="3"/>
    </row>
    <row r="983">
      <c r="C983" s="3"/>
      <c r="D983" s="3"/>
      <c r="E983" s="3"/>
      <c r="F983" s="3"/>
      <c r="J983" s="3" t="str">
        <f>IFERROR(__xludf.DUMMYFUNCTION("""COMPUTED_VALUE"""),"")</f>
        <v/>
      </c>
      <c r="M983" s="3"/>
    </row>
    <row r="984">
      <c r="C984" s="3"/>
      <c r="D984" s="3"/>
      <c r="E984" s="3"/>
      <c r="F984" s="3"/>
      <c r="J984" s="3" t="str">
        <f>IFERROR(__xludf.DUMMYFUNCTION("""COMPUTED_VALUE"""),"")</f>
        <v/>
      </c>
      <c r="M984" s="3"/>
    </row>
    <row r="985">
      <c r="C985" s="3"/>
      <c r="D985" s="3"/>
      <c r="E985" s="3"/>
      <c r="F985" s="3"/>
      <c r="J985" s="3" t="str">
        <f>IFERROR(__xludf.DUMMYFUNCTION("""COMPUTED_VALUE"""),"")</f>
        <v/>
      </c>
      <c r="M985" s="3"/>
    </row>
    <row r="986">
      <c r="C986" s="3"/>
      <c r="D986" s="3"/>
      <c r="E986" s="3"/>
      <c r="F986" s="3"/>
      <c r="J986" s="3" t="str">
        <f>IFERROR(__xludf.DUMMYFUNCTION("""COMPUTED_VALUE"""),"")</f>
        <v/>
      </c>
      <c r="M986" s="3"/>
    </row>
    <row r="987">
      <c r="C987" s="3"/>
      <c r="D987" s="3"/>
      <c r="E987" s="3"/>
      <c r="F987" s="3"/>
      <c r="J987" s="3" t="str">
        <f>IFERROR(__xludf.DUMMYFUNCTION("""COMPUTED_VALUE"""),"")</f>
        <v/>
      </c>
      <c r="M987" s="3"/>
    </row>
    <row r="988">
      <c r="C988" s="3"/>
      <c r="D988" s="3"/>
      <c r="E988" s="3"/>
      <c r="F988" s="3"/>
      <c r="J988" s="3" t="str">
        <f>IFERROR(__xludf.DUMMYFUNCTION("""COMPUTED_VALUE"""),"")</f>
        <v/>
      </c>
      <c r="M988" s="3"/>
    </row>
    <row r="989">
      <c r="C989" s="3"/>
      <c r="D989" s="3"/>
      <c r="E989" s="3"/>
      <c r="F989" s="3"/>
      <c r="J989" s="3" t="str">
        <f>IFERROR(__xludf.DUMMYFUNCTION("""COMPUTED_VALUE"""),"")</f>
        <v/>
      </c>
      <c r="M989" s="3"/>
    </row>
    <row r="990">
      <c r="C990" s="3"/>
      <c r="D990" s="3"/>
      <c r="E990" s="3"/>
      <c r="F990" s="3"/>
      <c r="J990" s="3" t="str">
        <f>IFERROR(__xludf.DUMMYFUNCTION("""COMPUTED_VALUE"""),"")</f>
        <v/>
      </c>
      <c r="M990" s="3"/>
    </row>
    <row r="991">
      <c r="C991" s="3"/>
      <c r="D991" s="3"/>
      <c r="E991" s="3"/>
      <c r="F991" s="3"/>
      <c r="J991" s="3" t="str">
        <f>IFERROR(__xludf.DUMMYFUNCTION("""COMPUTED_VALUE"""),"")</f>
        <v/>
      </c>
      <c r="M991" s="3"/>
    </row>
    <row r="992">
      <c r="C992" s="3"/>
      <c r="D992" s="3"/>
      <c r="E992" s="3"/>
      <c r="F992" s="3"/>
      <c r="J992" s="3" t="str">
        <f>IFERROR(__xludf.DUMMYFUNCTION("""COMPUTED_VALUE"""),"")</f>
        <v/>
      </c>
      <c r="M992" s="3"/>
    </row>
    <row r="993">
      <c r="C993" s="3"/>
      <c r="D993" s="3"/>
      <c r="E993" s="3"/>
      <c r="F993" s="3"/>
      <c r="J993" s="3" t="str">
        <f>IFERROR(__xludf.DUMMYFUNCTION("""COMPUTED_VALUE"""),"")</f>
        <v/>
      </c>
      <c r="M993" s="3"/>
    </row>
    <row r="994">
      <c r="C994" s="3"/>
      <c r="D994" s="3"/>
      <c r="E994" s="3"/>
      <c r="F994" s="3"/>
      <c r="J994" s="3" t="str">
        <f>IFERROR(__xludf.DUMMYFUNCTION("""COMPUTED_VALUE"""),"")</f>
        <v/>
      </c>
      <c r="M994" s="3"/>
    </row>
    <row r="995">
      <c r="C995" s="3"/>
      <c r="D995" s="3"/>
      <c r="E995" s="3"/>
      <c r="F995" s="3"/>
      <c r="J995" s="3" t="str">
        <f>IFERROR(__xludf.DUMMYFUNCTION("""COMPUTED_VALUE"""),"")</f>
        <v/>
      </c>
      <c r="M995" s="3"/>
    </row>
    <row r="996">
      <c r="C996" s="3"/>
      <c r="D996" s="3"/>
      <c r="E996" s="3"/>
      <c r="F996" s="3"/>
      <c r="J996" s="3" t="str">
        <f>IFERROR(__xludf.DUMMYFUNCTION("""COMPUTED_VALUE"""),"")</f>
        <v/>
      </c>
      <c r="M996" s="3"/>
    </row>
    <row r="997">
      <c r="C997" s="3"/>
      <c r="D997" s="3"/>
      <c r="E997" s="3"/>
      <c r="F997" s="3"/>
      <c r="J997" s="3" t="str">
        <f>IFERROR(__xludf.DUMMYFUNCTION("""COMPUTED_VALUE"""),"")</f>
        <v/>
      </c>
      <c r="M997" s="3"/>
    </row>
    <row r="998">
      <c r="C998" s="3"/>
      <c r="D998" s="3"/>
      <c r="E998" s="3"/>
      <c r="F998" s="3"/>
      <c r="J998" s="3" t="str">
        <f>IFERROR(__xludf.DUMMYFUNCTION("""COMPUTED_VALUE"""),"")</f>
        <v/>
      </c>
      <c r="M998" s="3"/>
    </row>
  </sheetData>
  <dataValidations>
    <dataValidation type="list" allowBlank="1" showErrorMessage="1" sqref="E1:E998">
      <formula1>theme!$B$2:$B$100</formula1>
    </dataValidation>
    <dataValidation type="list" allowBlank="1" sqref="C2:C998">
      <formula1>domaine!$B$2:$B$50</formula1>
    </dataValidation>
    <dataValidation type="list" allowBlank="1" showErrorMessage="1" sqref="F2:F998">
      <formula1>age!$B$2:$B$19</formula1>
    </dataValidation>
    <dataValidation type="list" allowBlank="1" showErrorMessage="1" sqref="D2:D998">
      <formula1>type!$B$2:$B$50</formula1>
    </dataValidation>
    <dataValidation type="list" allowBlank="1" sqref="M2:M288 M290:M998">
      <formula1>lieu!$B$2:$B$50</formula1>
    </dataValidation>
  </dataValidations>
  <hyperlinks>
    <hyperlink r:id="rId1" ref="I2"/>
    <hyperlink r:id="rId2" ref="I3"/>
    <hyperlink r:id="rId3" ref="J3"/>
    <hyperlink r:id="rId4" ref="I4"/>
    <hyperlink r:id="rId5" ref="J4"/>
    <hyperlink r:id="rId6" ref="I5"/>
    <hyperlink r:id="rId7" ref="J5"/>
    <hyperlink r:id="rId8" ref="I6"/>
    <hyperlink r:id="rId9" ref="J6"/>
    <hyperlink r:id="rId10" ref="I7"/>
    <hyperlink r:id="rId11" ref="J7"/>
    <hyperlink r:id="rId12" ref="I8"/>
    <hyperlink r:id="rId13" ref="J8"/>
    <hyperlink r:id="rId14" ref="I9"/>
    <hyperlink r:id="rId15" ref="J9"/>
    <hyperlink r:id="rId16" ref="I10"/>
    <hyperlink r:id="rId17" ref="J10"/>
    <hyperlink r:id="rId18" ref="I11"/>
    <hyperlink r:id="rId19" ref="J11"/>
    <hyperlink r:id="rId20" ref="I12"/>
    <hyperlink r:id="rId21" ref="J12"/>
    <hyperlink r:id="rId22" ref="I13"/>
    <hyperlink r:id="rId23" ref="J13"/>
    <hyperlink r:id="rId24" ref="I14"/>
    <hyperlink r:id="rId25" ref="J14"/>
    <hyperlink r:id="rId26" ref="I15"/>
    <hyperlink r:id="rId27" ref="J15"/>
    <hyperlink r:id="rId28" ref="I16"/>
    <hyperlink r:id="rId29" ref="J16"/>
    <hyperlink r:id="rId30" ref="I17"/>
    <hyperlink r:id="rId31" ref="J17"/>
    <hyperlink r:id="rId32" ref="I18"/>
    <hyperlink r:id="rId33" ref="J18"/>
    <hyperlink r:id="rId34" ref="I19"/>
    <hyperlink r:id="rId35" ref="J19"/>
    <hyperlink r:id="rId36" ref="I20"/>
    <hyperlink r:id="rId37" ref="J20"/>
    <hyperlink r:id="rId38" ref="I21"/>
    <hyperlink r:id="rId39" ref="J21"/>
    <hyperlink r:id="rId40" ref="I22"/>
    <hyperlink r:id="rId41" ref="J22"/>
    <hyperlink r:id="rId42" ref="I23"/>
    <hyperlink r:id="rId43" ref="J23"/>
    <hyperlink r:id="rId44" ref="I24"/>
    <hyperlink r:id="rId45" ref="J24"/>
    <hyperlink r:id="rId46" ref="I25"/>
    <hyperlink r:id="rId47" ref="J25"/>
    <hyperlink r:id="rId48" ref="I26"/>
    <hyperlink r:id="rId49" ref="J26"/>
    <hyperlink r:id="rId50" ref="I27"/>
    <hyperlink r:id="rId51" ref="J27"/>
    <hyperlink r:id="rId52" ref="I28"/>
    <hyperlink r:id="rId53" ref="J28"/>
    <hyperlink r:id="rId54" ref="I29"/>
    <hyperlink r:id="rId55" ref="J29"/>
    <hyperlink r:id="rId56" ref="I30"/>
    <hyperlink r:id="rId57" ref="J30"/>
    <hyperlink r:id="rId58" ref="I31"/>
    <hyperlink r:id="rId59" ref="J31"/>
    <hyperlink r:id="rId60" ref="I32"/>
    <hyperlink r:id="rId61" ref="J32"/>
    <hyperlink r:id="rId62" ref="I33"/>
    <hyperlink r:id="rId63" ref="J33"/>
    <hyperlink r:id="rId64" ref="I34"/>
    <hyperlink r:id="rId65" ref="J34"/>
    <hyperlink r:id="rId66" ref="I35"/>
    <hyperlink r:id="rId67" ref="J35"/>
    <hyperlink r:id="rId68" ref="I36"/>
    <hyperlink r:id="rId69" ref="J36"/>
    <hyperlink r:id="rId70" ref="I37"/>
    <hyperlink r:id="rId71" ref="J37"/>
    <hyperlink r:id="rId72" ref="I38"/>
    <hyperlink r:id="rId73" ref="J38"/>
    <hyperlink r:id="rId74" ref="I39"/>
    <hyperlink r:id="rId75" ref="J39"/>
    <hyperlink r:id="rId76" ref="I40"/>
    <hyperlink r:id="rId77" ref="J40"/>
    <hyperlink r:id="rId78" ref="I41"/>
    <hyperlink r:id="rId79" ref="J41"/>
    <hyperlink r:id="rId80" ref="I42"/>
    <hyperlink r:id="rId81" ref="J42"/>
    <hyperlink r:id="rId82" ref="I43"/>
    <hyperlink r:id="rId83" ref="J43"/>
    <hyperlink r:id="rId84" ref="I44"/>
    <hyperlink r:id="rId85" ref="J44"/>
    <hyperlink r:id="rId86" ref="I45"/>
    <hyperlink r:id="rId87" ref="J45"/>
    <hyperlink r:id="rId88" ref="I46"/>
    <hyperlink r:id="rId89" ref="J46"/>
    <hyperlink r:id="rId90" ref="I47"/>
    <hyperlink r:id="rId91" ref="J47"/>
    <hyperlink r:id="rId92" ref="I48"/>
    <hyperlink r:id="rId93" ref="J48"/>
    <hyperlink r:id="rId94" ref="I49"/>
    <hyperlink r:id="rId95" ref="J49"/>
    <hyperlink r:id="rId96" ref="I50"/>
    <hyperlink r:id="rId97" ref="J50"/>
    <hyperlink r:id="rId98" ref="I51"/>
    <hyperlink r:id="rId99" ref="J51"/>
    <hyperlink r:id="rId100" ref="I52"/>
    <hyperlink r:id="rId101" ref="J52"/>
    <hyperlink r:id="rId102" ref="I53"/>
    <hyperlink r:id="rId103" ref="J53"/>
    <hyperlink r:id="rId104" ref="I54"/>
    <hyperlink r:id="rId105" ref="J54"/>
    <hyperlink r:id="rId106" ref="I55"/>
    <hyperlink r:id="rId107" ref="J55"/>
    <hyperlink r:id="rId108" ref="I56"/>
    <hyperlink r:id="rId109" ref="J56"/>
    <hyperlink r:id="rId110" ref="I57"/>
    <hyperlink r:id="rId111" ref="J57"/>
    <hyperlink r:id="rId112" ref="I58"/>
    <hyperlink r:id="rId113" ref="J58"/>
    <hyperlink r:id="rId114" ref="I59"/>
    <hyperlink r:id="rId115" ref="J59"/>
    <hyperlink r:id="rId116" ref="I60"/>
    <hyperlink r:id="rId117" ref="J60"/>
    <hyperlink r:id="rId118" ref="I61"/>
    <hyperlink r:id="rId119" ref="J61"/>
    <hyperlink r:id="rId120" ref="I62"/>
    <hyperlink r:id="rId121" ref="J62"/>
    <hyperlink r:id="rId122" ref="I63"/>
    <hyperlink r:id="rId123" ref="J63"/>
    <hyperlink r:id="rId124" ref="I64"/>
    <hyperlink r:id="rId125" ref="J64"/>
    <hyperlink r:id="rId126" ref="I65"/>
    <hyperlink r:id="rId127" ref="J65"/>
    <hyperlink r:id="rId128" ref="I66"/>
    <hyperlink r:id="rId129" ref="J66"/>
    <hyperlink r:id="rId130" ref="I67"/>
    <hyperlink r:id="rId131" ref="J67"/>
    <hyperlink r:id="rId132" ref="I68"/>
    <hyperlink r:id="rId133" ref="J68"/>
    <hyperlink r:id="rId134" ref="I69"/>
    <hyperlink r:id="rId135" ref="J69"/>
    <hyperlink r:id="rId136" ref="I70"/>
    <hyperlink r:id="rId137" ref="J70"/>
    <hyperlink r:id="rId138" ref="I71"/>
    <hyperlink r:id="rId139" ref="J71"/>
    <hyperlink r:id="rId140" ref="I72"/>
    <hyperlink r:id="rId141" ref="J72"/>
    <hyperlink r:id="rId142" ref="I73"/>
    <hyperlink r:id="rId143" ref="J73"/>
    <hyperlink r:id="rId144" ref="I74"/>
    <hyperlink r:id="rId145" ref="J74"/>
    <hyperlink r:id="rId146" ref="I75"/>
    <hyperlink r:id="rId147" ref="J75"/>
    <hyperlink r:id="rId148" ref="I76"/>
    <hyperlink r:id="rId149" ref="J76"/>
    <hyperlink r:id="rId150" ref="I77"/>
    <hyperlink r:id="rId151" ref="J77"/>
    <hyperlink r:id="rId152" ref="I78"/>
    <hyperlink r:id="rId153" ref="J78"/>
    <hyperlink r:id="rId154" ref="I79"/>
    <hyperlink r:id="rId155" ref="J79"/>
    <hyperlink r:id="rId156" ref="I80"/>
    <hyperlink r:id="rId157" ref="J80"/>
    <hyperlink r:id="rId158" ref="I81"/>
    <hyperlink r:id="rId159" ref="J81"/>
    <hyperlink r:id="rId160" ref="I82"/>
    <hyperlink r:id="rId161" ref="J82"/>
    <hyperlink r:id="rId162" ref="I83"/>
    <hyperlink r:id="rId163" ref="J83"/>
    <hyperlink r:id="rId164" ref="I84"/>
    <hyperlink r:id="rId165" ref="J84"/>
    <hyperlink r:id="rId166" ref="I85"/>
    <hyperlink r:id="rId167" ref="J85"/>
    <hyperlink r:id="rId168" ref="I86"/>
    <hyperlink r:id="rId169" ref="J86"/>
    <hyperlink r:id="rId170" ref="I87"/>
    <hyperlink r:id="rId171" ref="J87"/>
    <hyperlink r:id="rId172" ref="I88"/>
    <hyperlink r:id="rId173" ref="J88"/>
    <hyperlink r:id="rId174" ref="I89"/>
    <hyperlink r:id="rId175" ref="J89"/>
    <hyperlink r:id="rId176" ref="I90"/>
    <hyperlink r:id="rId177" ref="J90"/>
    <hyperlink r:id="rId178" ref="I91"/>
    <hyperlink r:id="rId179" ref="J91"/>
    <hyperlink r:id="rId180" ref="I92"/>
    <hyperlink r:id="rId181" ref="J92"/>
    <hyperlink r:id="rId182" ref="I93"/>
    <hyperlink r:id="rId183" ref="J93"/>
    <hyperlink r:id="rId184" ref="I94"/>
    <hyperlink r:id="rId185" ref="J94"/>
    <hyperlink r:id="rId186" ref="I95"/>
    <hyperlink r:id="rId187" ref="J95"/>
    <hyperlink r:id="rId188" ref="I96"/>
    <hyperlink r:id="rId189" ref="J96"/>
    <hyperlink r:id="rId190" ref="I97"/>
    <hyperlink r:id="rId191" ref="J97"/>
    <hyperlink r:id="rId192" ref="I98"/>
    <hyperlink r:id="rId193" ref="J98"/>
    <hyperlink r:id="rId194" ref="I99"/>
    <hyperlink r:id="rId195" ref="J99"/>
    <hyperlink r:id="rId196" ref="I100"/>
    <hyperlink r:id="rId197" ref="J100"/>
    <hyperlink r:id="rId198" ref="I101"/>
    <hyperlink r:id="rId199" ref="J101"/>
    <hyperlink r:id="rId200" ref="I102"/>
    <hyperlink r:id="rId201" ref="J102"/>
    <hyperlink r:id="rId202" ref="I103"/>
    <hyperlink r:id="rId203" ref="J103"/>
    <hyperlink r:id="rId204" ref="I104"/>
    <hyperlink r:id="rId205" ref="J104"/>
    <hyperlink r:id="rId206" ref="I105"/>
    <hyperlink r:id="rId207" ref="J105"/>
    <hyperlink r:id="rId208" ref="I106"/>
    <hyperlink r:id="rId209" ref="J106"/>
    <hyperlink r:id="rId210" ref="I107"/>
    <hyperlink r:id="rId211" ref="J107"/>
    <hyperlink r:id="rId212" ref="I108"/>
    <hyperlink r:id="rId213" ref="J108"/>
    <hyperlink r:id="rId214" ref="I109"/>
    <hyperlink r:id="rId215" ref="J109"/>
    <hyperlink r:id="rId216" ref="I110"/>
    <hyperlink r:id="rId217" ref="J110"/>
    <hyperlink r:id="rId218" ref="I111"/>
    <hyperlink r:id="rId219" ref="J111"/>
    <hyperlink r:id="rId220" ref="I112"/>
    <hyperlink r:id="rId221" ref="J112"/>
    <hyperlink r:id="rId222" ref="I113"/>
    <hyperlink r:id="rId223" ref="J113"/>
    <hyperlink r:id="rId224" ref="I114"/>
    <hyperlink r:id="rId225" ref="J114"/>
    <hyperlink r:id="rId226" ref="I115"/>
    <hyperlink r:id="rId227" ref="J115"/>
    <hyperlink r:id="rId228" ref="I116"/>
    <hyperlink r:id="rId229" ref="J116"/>
    <hyperlink r:id="rId230" ref="I117"/>
    <hyperlink r:id="rId231" ref="J117"/>
    <hyperlink r:id="rId232" ref="I118"/>
    <hyperlink r:id="rId233" ref="J118"/>
    <hyperlink r:id="rId234" ref="I119"/>
    <hyperlink r:id="rId235" ref="J119"/>
    <hyperlink r:id="rId236" ref="I120"/>
    <hyperlink r:id="rId237" ref="J120"/>
    <hyperlink r:id="rId238" ref="I121"/>
    <hyperlink r:id="rId239" ref="J121"/>
    <hyperlink r:id="rId240" ref="I122"/>
    <hyperlink r:id="rId241" ref="J122"/>
    <hyperlink r:id="rId242" ref="I123"/>
    <hyperlink r:id="rId243" ref="J123"/>
    <hyperlink r:id="rId244" ref="I124"/>
    <hyperlink r:id="rId245" ref="J124"/>
    <hyperlink r:id="rId246" ref="I125"/>
    <hyperlink r:id="rId247" ref="J125"/>
    <hyperlink r:id="rId248" ref="I126"/>
    <hyperlink r:id="rId249" ref="J126"/>
    <hyperlink r:id="rId250" ref="I127"/>
    <hyperlink r:id="rId251" ref="J127"/>
    <hyperlink r:id="rId252" ref="I128"/>
    <hyperlink r:id="rId253" ref="J128"/>
    <hyperlink r:id="rId254" ref="I129"/>
    <hyperlink r:id="rId255" ref="J129"/>
    <hyperlink r:id="rId256" ref="I130"/>
    <hyperlink r:id="rId257" ref="J130"/>
    <hyperlink r:id="rId258" ref="I131"/>
    <hyperlink r:id="rId259" ref="J131"/>
    <hyperlink r:id="rId260" ref="I132"/>
    <hyperlink r:id="rId261" ref="J132"/>
    <hyperlink r:id="rId262" ref="I133"/>
    <hyperlink r:id="rId263" ref="J133"/>
    <hyperlink r:id="rId264" ref="I134"/>
    <hyperlink r:id="rId265" ref="J134"/>
    <hyperlink r:id="rId266" ref="I135"/>
    <hyperlink r:id="rId267" ref="J135"/>
    <hyperlink r:id="rId268" ref="I136"/>
    <hyperlink r:id="rId269" ref="J136"/>
    <hyperlink r:id="rId270" ref="I137"/>
    <hyperlink r:id="rId271" ref="J137"/>
    <hyperlink r:id="rId272" ref="I138"/>
    <hyperlink r:id="rId273" ref="J138"/>
    <hyperlink r:id="rId274" ref="I139"/>
    <hyperlink r:id="rId275" ref="J139"/>
    <hyperlink r:id="rId276" ref="I140"/>
    <hyperlink r:id="rId277" ref="J140"/>
    <hyperlink r:id="rId278" ref="I141"/>
    <hyperlink r:id="rId279" ref="J141"/>
    <hyperlink r:id="rId280" ref="I142"/>
    <hyperlink r:id="rId281" ref="J142"/>
    <hyperlink r:id="rId282" ref="I143"/>
    <hyperlink r:id="rId283" ref="J143"/>
    <hyperlink r:id="rId284" ref="I144"/>
    <hyperlink r:id="rId285" ref="J144"/>
    <hyperlink r:id="rId286" ref="I145"/>
    <hyperlink r:id="rId287" ref="J145"/>
    <hyperlink r:id="rId288" ref="I146"/>
    <hyperlink r:id="rId289" ref="J146"/>
    <hyperlink r:id="rId290" ref="I147"/>
    <hyperlink r:id="rId291" ref="J147"/>
    <hyperlink r:id="rId292" ref="I148"/>
    <hyperlink r:id="rId293" ref="J148"/>
    <hyperlink r:id="rId294" ref="I149"/>
    <hyperlink r:id="rId295" ref="J149"/>
    <hyperlink r:id="rId296" ref="I150"/>
    <hyperlink r:id="rId297" ref="J150"/>
    <hyperlink r:id="rId298" ref="I151"/>
    <hyperlink r:id="rId299" ref="J151"/>
    <hyperlink r:id="rId300" ref="I152"/>
    <hyperlink r:id="rId301" ref="J152"/>
    <hyperlink r:id="rId302" ref="I153"/>
    <hyperlink r:id="rId303" ref="J153"/>
    <hyperlink r:id="rId304" ref="I154"/>
    <hyperlink r:id="rId305" ref="J154"/>
    <hyperlink r:id="rId306" ref="I155"/>
    <hyperlink r:id="rId307" ref="J155"/>
    <hyperlink r:id="rId308" ref="I156"/>
    <hyperlink r:id="rId309" ref="J156"/>
    <hyperlink r:id="rId310" ref="I157"/>
    <hyperlink r:id="rId311" ref="J157"/>
    <hyperlink r:id="rId312" ref="I158"/>
    <hyperlink r:id="rId313" ref="J158"/>
    <hyperlink r:id="rId314" ref="I159"/>
    <hyperlink r:id="rId315" ref="J159"/>
    <hyperlink r:id="rId316" ref="I160"/>
    <hyperlink r:id="rId317" ref="J160"/>
    <hyperlink r:id="rId318" ref="I161"/>
    <hyperlink r:id="rId319" ref="J161"/>
    <hyperlink r:id="rId320" ref="I162"/>
    <hyperlink r:id="rId321" ref="J162"/>
    <hyperlink r:id="rId322" ref="I163"/>
    <hyperlink r:id="rId323" ref="J163"/>
    <hyperlink r:id="rId324" ref="I164"/>
    <hyperlink r:id="rId325" ref="J164"/>
    <hyperlink r:id="rId326" ref="I165"/>
    <hyperlink r:id="rId327" ref="J165"/>
    <hyperlink r:id="rId328" ref="I166"/>
    <hyperlink r:id="rId329" ref="J166"/>
    <hyperlink r:id="rId330" ref="I167"/>
    <hyperlink r:id="rId331" ref="J167"/>
    <hyperlink r:id="rId332" ref="I168"/>
    <hyperlink r:id="rId333" ref="J168"/>
    <hyperlink r:id="rId334" ref="I169"/>
    <hyperlink r:id="rId335" ref="J169"/>
    <hyperlink r:id="rId336" ref="I170"/>
    <hyperlink r:id="rId337" ref="J170"/>
    <hyperlink r:id="rId338" ref="I171"/>
    <hyperlink r:id="rId339" ref="J171"/>
    <hyperlink r:id="rId340" ref="I172"/>
    <hyperlink r:id="rId341" ref="J172"/>
    <hyperlink r:id="rId342" ref="I173"/>
    <hyperlink r:id="rId343" ref="J173"/>
    <hyperlink r:id="rId344" ref="I174"/>
    <hyperlink r:id="rId345" ref="J174"/>
    <hyperlink r:id="rId346" ref="I175"/>
    <hyperlink r:id="rId347" ref="J175"/>
    <hyperlink r:id="rId348" ref="I176"/>
    <hyperlink r:id="rId349" ref="J176"/>
    <hyperlink r:id="rId350" ref="I177"/>
    <hyperlink r:id="rId351" ref="J177"/>
    <hyperlink r:id="rId352" ref="I178"/>
    <hyperlink r:id="rId353" ref="J178"/>
    <hyperlink r:id="rId354" ref="I179"/>
    <hyperlink r:id="rId355" ref="J179"/>
    <hyperlink r:id="rId356" ref="I180"/>
    <hyperlink r:id="rId357" ref="J180"/>
    <hyperlink r:id="rId358" ref="I181"/>
    <hyperlink r:id="rId359" ref="J181"/>
    <hyperlink r:id="rId360" ref="I182"/>
    <hyperlink r:id="rId361" ref="J182"/>
    <hyperlink r:id="rId362" ref="I183"/>
    <hyperlink r:id="rId363" ref="J183"/>
    <hyperlink r:id="rId364" ref="I184"/>
    <hyperlink r:id="rId365" ref="J184"/>
    <hyperlink r:id="rId366" ref="I185"/>
    <hyperlink r:id="rId367" ref="J185"/>
    <hyperlink r:id="rId368" ref="I186"/>
    <hyperlink r:id="rId369" ref="J186"/>
    <hyperlink r:id="rId370" ref="I187"/>
    <hyperlink r:id="rId371" ref="J187"/>
    <hyperlink r:id="rId372" ref="I188"/>
    <hyperlink r:id="rId373" ref="J188"/>
    <hyperlink r:id="rId374" ref="I189"/>
    <hyperlink r:id="rId375" ref="J189"/>
    <hyperlink r:id="rId376" ref="I190"/>
    <hyperlink r:id="rId377" ref="J190"/>
    <hyperlink r:id="rId378" ref="I191"/>
    <hyperlink r:id="rId379" ref="J191"/>
    <hyperlink r:id="rId380" ref="N191"/>
    <hyperlink r:id="rId381" ref="I192"/>
    <hyperlink r:id="rId382" ref="J192"/>
    <hyperlink r:id="rId383" ref="I193"/>
    <hyperlink r:id="rId384" ref="J193"/>
    <hyperlink r:id="rId385" ref="I194"/>
    <hyperlink r:id="rId386" ref="J194"/>
    <hyperlink r:id="rId387" ref="I195"/>
    <hyperlink r:id="rId388" ref="J195"/>
    <hyperlink r:id="rId389" ref="I196"/>
    <hyperlink r:id="rId390" ref="J196"/>
    <hyperlink r:id="rId391" ref="I197"/>
    <hyperlink r:id="rId392" ref="J197"/>
    <hyperlink r:id="rId393" ref="I198"/>
    <hyperlink r:id="rId394" ref="J198"/>
    <hyperlink r:id="rId395" ref="I199"/>
    <hyperlink r:id="rId396" ref="J199"/>
    <hyperlink r:id="rId397" ref="I200"/>
    <hyperlink r:id="rId398" ref="J200"/>
    <hyperlink r:id="rId399" ref="I201"/>
    <hyperlink r:id="rId400" ref="J201"/>
    <hyperlink r:id="rId401" ref="I202"/>
    <hyperlink r:id="rId402" ref="J202"/>
    <hyperlink r:id="rId403" ref="I203"/>
    <hyperlink r:id="rId404" ref="J203"/>
    <hyperlink r:id="rId405" ref="I204"/>
    <hyperlink r:id="rId406" ref="J204"/>
    <hyperlink r:id="rId407" ref="I205"/>
    <hyperlink r:id="rId408" ref="J205"/>
    <hyperlink r:id="rId409" ref="I206"/>
    <hyperlink r:id="rId410" ref="J206"/>
    <hyperlink r:id="rId411" ref="I207"/>
    <hyperlink r:id="rId412" ref="J207"/>
    <hyperlink r:id="rId413" ref="I208"/>
    <hyperlink r:id="rId414" ref="J208"/>
    <hyperlink r:id="rId415" ref="I209"/>
    <hyperlink r:id="rId416" ref="J209"/>
    <hyperlink r:id="rId417" ref="I210"/>
    <hyperlink r:id="rId418" ref="J210"/>
    <hyperlink r:id="rId419" ref="I211"/>
    <hyperlink r:id="rId420" ref="J211"/>
    <hyperlink r:id="rId421" ref="I212"/>
    <hyperlink r:id="rId422" ref="J212"/>
    <hyperlink r:id="rId423" ref="I213"/>
    <hyperlink r:id="rId424" ref="J213"/>
    <hyperlink r:id="rId425" ref="I214"/>
    <hyperlink r:id="rId426" ref="J214"/>
    <hyperlink r:id="rId427" ref="I215"/>
    <hyperlink r:id="rId428" ref="J215"/>
    <hyperlink r:id="rId429" ref="I216"/>
    <hyperlink r:id="rId430" ref="J216"/>
    <hyperlink r:id="rId431" ref="I217"/>
    <hyperlink r:id="rId432" ref="J217"/>
    <hyperlink r:id="rId433" ref="I218"/>
    <hyperlink r:id="rId434" ref="J218"/>
    <hyperlink r:id="rId435" ref="I219"/>
    <hyperlink r:id="rId436" ref="J219"/>
    <hyperlink r:id="rId437" ref="I220"/>
    <hyperlink r:id="rId438" ref="J220"/>
    <hyperlink r:id="rId439" ref="I221"/>
    <hyperlink r:id="rId440" ref="J221"/>
    <hyperlink r:id="rId441" ref="I222"/>
    <hyperlink r:id="rId442" ref="J222"/>
    <hyperlink r:id="rId443" ref="I223"/>
    <hyperlink r:id="rId444" ref="J223"/>
    <hyperlink r:id="rId445" ref="I224"/>
    <hyperlink r:id="rId446" ref="J224"/>
    <hyperlink r:id="rId447" ref="I225"/>
    <hyperlink r:id="rId448" ref="J225"/>
    <hyperlink r:id="rId449" ref="I226"/>
    <hyperlink r:id="rId450" ref="J226"/>
    <hyperlink r:id="rId451" ref="I227"/>
    <hyperlink r:id="rId452" ref="J227"/>
    <hyperlink r:id="rId453" ref="I228"/>
    <hyperlink r:id="rId454" ref="J228"/>
    <hyperlink r:id="rId455" ref="I229"/>
    <hyperlink r:id="rId456" ref="J229"/>
    <hyperlink r:id="rId457" ref="I230"/>
    <hyperlink r:id="rId458" ref="J230"/>
    <hyperlink r:id="rId459" ref="I231"/>
    <hyperlink r:id="rId460" ref="J231"/>
    <hyperlink r:id="rId461" ref="I232"/>
    <hyperlink r:id="rId462" ref="J232"/>
    <hyperlink r:id="rId463" ref="I233"/>
    <hyperlink r:id="rId464" ref="J233"/>
    <hyperlink r:id="rId465" ref="I234"/>
    <hyperlink r:id="rId466" ref="J234"/>
    <hyperlink r:id="rId467" ref="I235"/>
    <hyperlink r:id="rId468" ref="J235"/>
    <hyperlink r:id="rId469" ref="I236"/>
    <hyperlink r:id="rId470" ref="J236"/>
    <hyperlink r:id="rId471" ref="I237"/>
    <hyperlink r:id="rId472" ref="J237"/>
    <hyperlink r:id="rId473" ref="I238"/>
    <hyperlink r:id="rId474" ref="J238"/>
    <hyperlink r:id="rId475" ref="I239"/>
    <hyperlink r:id="rId476" ref="J239"/>
    <hyperlink r:id="rId477" ref="I240"/>
    <hyperlink r:id="rId478" ref="J240"/>
    <hyperlink r:id="rId479" ref="I241"/>
    <hyperlink r:id="rId480" ref="J241"/>
    <hyperlink r:id="rId481" ref="I242"/>
    <hyperlink r:id="rId482" ref="J242"/>
    <hyperlink r:id="rId483" ref="I243"/>
    <hyperlink r:id="rId484" ref="J243"/>
    <hyperlink r:id="rId485" ref="I244"/>
    <hyperlink r:id="rId486" ref="J244"/>
    <hyperlink r:id="rId487" ref="I245"/>
    <hyperlink r:id="rId488" ref="J245"/>
    <hyperlink r:id="rId489" ref="I246"/>
    <hyperlink r:id="rId490" ref="J246"/>
    <hyperlink r:id="rId491" ref="I247"/>
    <hyperlink r:id="rId492" ref="J247"/>
    <hyperlink r:id="rId493" ref="I248"/>
    <hyperlink r:id="rId494" ref="J248"/>
    <hyperlink r:id="rId495" ref="I249"/>
    <hyperlink r:id="rId496" ref="J249"/>
    <hyperlink r:id="rId497" ref="I250"/>
    <hyperlink r:id="rId498" ref="J250"/>
    <hyperlink r:id="rId499" ref="I251"/>
    <hyperlink r:id="rId500" ref="J251"/>
    <hyperlink r:id="rId501" ref="I252"/>
    <hyperlink r:id="rId502" ref="J252"/>
    <hyperlink r:id="rId503" ref="I253"/>
    <hyperlink r:id="rId504" ref="J253"/>
    <hyperlink r:id="rId505" ref="I254"/>
    <hyperlink r:id="rId506" ref="J254"/>
    <hyperlink r:id="rId507" ref="I255"/>
    <hyperlink r:id="rId508" ref="J255"/>
    <hyperlink r:id="rId509" ref="I256"/>
    <hyperlink r:id="rId510" ref="J256"/>
    <hyperlink r:id="rId511" ref="I257"/>
    <hyperlink r:id="rId512" ref="J257"/>
    <hyperlink r:id="rId513" ref="I258"/>
    <hyperlink r:id="rId514" ref="J258"/>
    <hyperlink r:id="rId515" ref="I259"/>
    <hyperlink r:id="rId516" ref="J259"/>
    <hyperlink r:id="rId517" ref="I260"/>
    <hyperlink r:id="rId518" ref="J260"/>
    <hyperlink r:id="rId519" ref="I261"/>
    <hyperlink r:id="rId520" ref="J261"/>
    <hyperlink r:id="rId521" ref="I262"/>
    <hyperlink r:id="rId522" ref="J262"/>
    <hyperlink r:id="rId523" ref="I263"/>
    <hyperlink r:id="rId524" ref="J263"/>
    <hyperlink r:id="rId525" ref="I264"/>
    <hyperlink r:id="rId526" ref="J264"/>
    <hyperlink r:id="rId527" ref="I265"/>
    <hyperlink r:id="rId528" ref="J265"/>
    <hyperlink r:id="rId529" ref="I266"/>
    <hyperlink r:id="rId530" ref="J266"/>
    <hyperlink r:id="rId531" ref="I267"/>
    <hyperlink r:id="rId532" ref="J267"/>
    <hyperlink r:id="rId533" ref="I268"/>
    <hyperlink r:id="rId534" ref="J268"/>
    <hyperlink r:id="rId535" ref="I269"/>
    <hyperlink r:id="rId536" ref="J269"/>
    <hyperlink r:id="rId537" ref="I270"/>
    <hyperlink r:id="rId538" ref="J270"/>
    <hyperlink r:id="rId539" ref="I271"/>
    <hyperlink r:id="rId540" ref="J271"/>
    <hyperlink r:id="rId541" ref="I272"/>
    <hyperlink r:id="rId542" ref="J272"/>
    <hyperlink r:id="rId543" ref="I273"/>
    <hyperlink r:id="rId544" ref="J273"/>
    <hyperlink r:id="rId545" ref="I274"/>
    <hyperlink r:id="rId546" ref="J274"/>
    <hyperlink r:id="rId547" ref="I275"/>
    <hyperlink r:id="rId548" ref="J275"/>
    <hyperlink r:id="rId549" ref="I276"/>
    <hyperlink r:id="rId550" ref="J276"/>
    <hyperlink r:id="rId551" ref="I277"/>
    <hyperlink r:id="rId552" ref="J277"/>
    <hyperlink r:id="rId553" ref="I278"/>
    <hyperlink r:id="rId554" ref="J278"/>
    <hyperlink r:id="rId555" ref="I279"/>
    <hyperlink r:id="rId556" ref="J279"/>
    <hyperlink r:id="rId557" ref="I280"/>
    <hyperlink r:id="rId558" ref="J280"/>
    <hyperlink r:id="rId559" ref="I281"/>
    <hyperlink r:id="rId560" ref="J281"/>
    <hyperlink r:id="rId561" ref="I282"/>
    <hyperlink r:id="rId562" ref="J282"/>
    <hyperlink r:id="rId563" ref="I283"/>
    <hyperlink r:id="rId564" ref="J283"/>
    <hyperlink r:id="rId565" ref="I284"/>
    <hyperlink r:id="rId566" ref="J284"/>
    <hyperlink r:id="rId567" ref="I285"/>
    <hyperlink r:id="rId568" ref="J285"/>
    <hyperlink r:id="rId569" ref="I286"/>
    <hyperlink r:id="rId570" ref="J286"/>
    <hyperlink r:id="rId571" ref="I287"/>
    <hyperlink r:id="rId572" ref="J287"/>
    <hyperlink r:id="rId573" ref="I288"/>
    <hyperlink r:id="rId574" ref="J288"/>
    <hyperlink r:id="rId575" ref="I289"/>
    <hyperlink r:id="rId576" ref="J289"/>
  </hyperlinks>
  <drawing r:id="rId57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2</v>
      </c>
    </row>
    <row r="2">
      <c r="A2" s="2" t="s">
        <v>3</v>
      </c>
      <c r="B2" s="2" t="s">
        <v>5</v>
      </c>
    </row>
    <row r="3">
      <c r="A3" s="2" t="s">
        <v>6</v>
      </c>
      <c r="B3" s="2" t="s">
        <v>7</v>
      </c>
    </row>
    <row r="4">
      <c r="A4" s="2" t="s">
        <v>8</v>
      </c>
      <c r="B4" s="2" t="s">
        <v>9</v>
      </c>
    </row>
    <row r="5">
      <c r="A5" s="2" t="s">
        <v>11</v>
      </c>
      <c r="B5" s="2" t="s">
        <v>13</v>
      </c>
    </row>
    <row r="6">
      <c r="A6" s="2" t="s">
        <v>14</v>
      </c>
      <c r="B6" s="2" t="s">
        <v>7</v>
      </c>
    </row>
    <row r="7">
      <c r="A7" s="2" t="s">
        <v>16</v>
      </c>
      <c r="B7" s="2" t="s">
        <v>23</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1</v>
      </c>
      <c r="B1" s="2" t="s">
        <v>4</v>
      </c>
    </row>
    <row r="2">
      <c r="A2" s="2" t="s">
        <v>10</v>
      </c>
      <c r="B2" s="2" t="s">
        <v>12</v>
      </c>
    </row>
    <row r="3">
      <c r="A3" s="2" t="s">
        <v>15</v>
      </c>
      <c r="B3" s="2" t="s">
        <v>17</v>
      </c>
    </row>
    <row r="4">
      <c r="A4" s="2" t="s">
        <v>18</v>
      </c>
      <c r="B4" s="2" t="s">
        <v>19</v>
      </c>
    </row>
    <row r="5">
      <c r="A5" s="2" t="s">
        <v>20</v>
      </c>
      <c r="B5" s="2" t="s">
        <v>21</v>
      </c>
    </row>
    <row r="6">
      <c r="A6" s="2" t="s">
        <v>22</v>
      </c>
      <c r="B6" s="2" t="s">
        <v>24</v>
      </c>
    </row>
    <row r="7">
      <c r="A7" s="2" t="s">
        <v>26</v>
      </c>
      <c r="B7" s="2" t="s">
        <v>28</v>
      </c>
    </row>
    <row r="8">
      <c r="A8" s="2" t="s">
        <v>29</v>
      </c>
      <c r="B8" s="2" t="s">
        <v>30</v>
      </c>
    </row>
    <row r="9">
      <c r="A9" s="2" t="s">
        <v>31</v>
      </c>
      <c r="B9" s="2" t="s">
        <v>32</v>
      </c>
    </row>
    <row r="10">
      <c r="A10" s="2" t="s">
        <v>33</v>
      </c>
      <c r="B10" s="2" t="s">
        <v>34</v>
      </c>
    </row>
    <row r="11">
      <c r="A11" s="2" t="s">
        <v>35</v>
      </c>
      <c r="B11" s="2" t="s">
        <v>36</v>
      </c>
    </row>
    <row r="12">
      <c r="A12" s="2" t="s">
        <v>37</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1</v>
      </c>
      <c r="B1" s="2" t="s">
        <v>4</v>
      </c>
    </row>
    <row r="2">
      <c r="A2" s="2" t="s">
        <v>38</v>
      </c>
      <c r="B2" s="2" t="s">
        <v>39</v>
      </c>
    </row>
    <row r="3">
      <c r="A3" s="2" t="s">
        <v>40</v>
      </c>
      <c r="B3" s="2" t="s">
        <v>41</v>
      </c>
    </row>
    <row r="4">
      <c r="A4" s="2" t="s">
        <v>42</v>
      </c>
      <c r="B4" s="2" t="s">
        <v>43</v>
      </c>
    </row>
    <row r="5">
      <c r="A5" s="2" t="s">
        <v>44</v>
      </c>
      <c r="B5" s="2" t="s">
        <v>45</v>
      </c>
    </row>
    <row r="6">
      <c r="A6" s="2" t="s">
        <v>46</v>
      </c>
      <c r="B6" s="2" t="s">
        <v>47</v>
      </c>
    </row>
    <row r="7">
      <c r="A7" s="2" t="s">
        <v>48</v>
      </c>
      <c r="B7" s="2" t="s">
        <v>50</v>
      </c>
    </row>
    <row r="8">
      <c r="A8" s="2" t="s">
        <v>52</v>
      </c>
      <c r="B8" s="2" t="s">
        <v>53</v>
      </c>
    </row>
    <row r="9">
      <c r="A9" s="2" t="s">
        <v>55</v>
      </c>
      <c r="B9" s="2" t="s">
        <v>57</v>
      </c>
    </row>
    <row r="10">
      <c r="A10" s="2" t="s">
        <v>63</v>
      </c>
      <c r="B10" s="2" t="s">
        <v>66</v>
      </c>
    </row>
    <row r="11">
      <c r="A11" s="2" t="s">
        <v>67</v>
      </c>
      <c r="B11" s="2" t="s">
        <v>70</v>
      </c>
    </row>
    <row r="12">
      <c r="A12" s="2" t="s">
        <v>74</v>
      </c>
      <c r="B12" s="2" t="s">
        <v>75</v>
      </c>
    </row>
    <row r="13">
      <c r="A13" s="2" t="s">
        <v>78</v>
      </c>
      <c r="B13" s="2" t="s">
        <v>81</v>
      </c>
    </row>
    <row r="14">
      <c r="A14" s="2" t="s">
        <v>83</v>
      </c>
      <c r="B14" s="2" t="s">
        <v>84</v>
      </c>
    </row>
    <row r="15">
      <c r="A15" s="2" t="s">
        <v>87</v>
      </c>
    </row>
    <row r="16">
      <c r="A16" s="2" t="s">
        <v>91</v>
      </c>
    </row>
    <row r="17">
      <c r="A17" s="2" t="s">
        <v>93</v>
      </c>
    </row>
    <row r="18">
      <c r="A18" s="2" t="s">
        <v>96</v>
      </c>
    </row>
    <row r="19">
      <c r="A19" s="2" t="s">
        <v>99</v>
      </c>
    </row>
    <row r="20">
      <c r="A20" s="2" t="s">
        <v>101</v>
      </c>
    </row>
    <row r="21">
      <c r="A21" s="2" t="s">
        <v>103</v>
      </c>
    </row>
    <row r="22">
      <c r="A22" s="2" t="s">
        <v>106</v>
      </c>
    </row>
    <row r="23">
      <c r="A23" s="2" t="s">
        <v>109</v>
      </c>
    </row>
    <row r="24">
      <c r="A24" s="2" t="s">
        <v>110</v>
      </c>
    </row>
    <row r="25">
      <c r="A25" s="2" t="s">
        <v>112</v>
      </c>
    </row>
    <row r="26">
      <c r="A26" s="2" t="s">
        <v>114</v>
      </c>
    </row>
    <row r="27">
      <c r="A27" s="2" t="s">
        <v>116</v>
      </c>
    </row>
    <row r="28">
      <c r="A28" s="2" t="s">
        <v>118</v>
      </c>
    </row>
    <row r="29">
      <c r="A29" s="2" t="s">
        <v>120</v>
      </c>
    </row>
    <row r="30">
      <c r="A30" s="2" t="s">
        <v>123</v>
      </c>
    </row>
    <row r="31">
      <c r="A31" s="2" t="s">
        <v>125</v>
      </c>
    </row>
    <row r="32">
      <c r="A32" s="2" t="s">
        <v>127</v>
      </c>
    </row>
    <row r="33">
      <c r="A33" s="2" t="s">
        <v>129</v>
      </c>
    </row>
    <row r="34">
      <c r="A34" s="2" t="s">
        <v>130</v>
      </c>
    </row>
    <row r="35">
      <c r="A35" s="2" t="s">
        <v>131</v>
      </c>
    </row>
    <row r="36">
      <c r="A36" s="2" t="s">
        <v>132</v>
      </c>
    </row>
    <row r="37">
      <c r="A37" s="2" t="s">
        <v>133</v>
      </c>
    </row>
    <row r="38">
      <c r="A38" s="2" t="s">
        <v>134</v>
      </c>
    </row>
    <row r="39">
      <c r="A39" s="2" t="s">
        <v>135</v>
      </c>
    </row>
    <row r="40">
      <c r="A40" s="2" t="s">
        <v>136</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2.88"/>
  </cols>
  <sheetData>
    <row r="1">
      <c r="A1" s="2" t="s">
        <v>1</v>
      </c>
      <c r="B1" s="2" t="s">
        <v>4</v>
      </c>
    </row>
    <row r="2">
      <c r="B2" s="3" t="s">
        <v>49</v>
      </c>
    </row>
    <row r="3">
      <c r="B3" s="3" t="s">
        <v>54</v>
      </c>
    </row>
    <row r="4">
      <c r="B4" s="3" t="s">
        <v>58</v>
      </c>
    </row>
    <row r="5">
      <c r="B5" s="3" t="s">
        <v>60</v>
      </c>
    </row>
    <row r="6">
      <c r="B6" s="3" t="s">
        <v>62</v>
      </c>
    </row>
    <row r="7">
      <c r="B7" s="3" t="s">
        <v>64</v>
      </c>
    </row>
    <row r="8">
      <c r="B8" s="3" t="s">
        <v>24</v>
      </c>
    </row>
    <row r="9">
      <c r="B9" s="3" t="s">
        <v>68</v>
      </c>
    </row>
    <row r="10">
      <c r="B10" s="3" t="s">
        <v>71</v>
      </c>
    </row>
    <row r="11">
      <c r="B11" s="3" t="s">
        <v>73</v>
      </c>
    </row>
    <row r="12">
      <c r="B12" s="3" t="s">
        <v>77</v>
      </c>
    </row>
    <row r="13">
      <c r="B13" s="3" t="s">
        <v>79</v>
      </c>
    </row>
    <row r="14">
      <c r="B14" s="3" t="s">
        <v>82</v>
      </c>
    </row>
    <row r="15">
      <c r="B15" s="3" t="s">
        <v>34</v>
      </c>
    </row>
    <row r="16">
      <c r="B16" s="3" t="s">
        <v>86</v>
      </c>
    </row>
    <row r="17">
      <c r="B17" s="3" t="s">
        <v>88</v>
      </c>
    </row>
    <row r="18">
      <c r="B18" s="3" t="s">
        <v>89</v>
      </c>
    </row>
    <row r="19">
      <c r="B19" s="3" t="s">
        <v>92</v>
      </c>
    </row>
    <row r="20">
      <c r="B20" s="3" t="s">
        <v>94</v>
      </c>
    </row>
    <row r="21">
      <c r="B21" s="3" t="s">
        <v>95</v>
      </c>
    </row>
    <row r="22">
      <c r="B22" s="3" t="s">
        <v>97</v>
      </c>
    </row>
    <row r="23">
      <c r="B23" s="3" t="s">
        <v>98</v>
      </c>
    </row>
    <row r="24">
      <c r="B24" s="3" t="s">
        <v>100</v>
      </c>
    </row>
    <row r="25">
      <c r="B25" s="3" t="s">
        <v>102</v>
      </c>
    </row>
    <row r="26">
      <c r="B26" s="3" t="s">
        <v>104</v>
      </c>
    </row>
    <row r="27">
      <c r="B27" s="3" t="s">
        <v>105</v>
      </c>
    </row>
    <row r="28">
      <c r="B28" s="3" t="s">
        <v>107</v>
      </c>
    </row>
    <row r="29">
      <c r="B29" s="3" t="s">
        <v>36</v>
      </c>
    </row>
    <row r="30">
      <c r="B30" s="3" t="s">
        <v>111</v>
      </c>
    </row>
    <row r="31">
      <c r="B31" s="3" t="s">
        <v>113</v>
      </c>
    </row>
    <row r="32">
      <c r="B32" s="3" t="s">
        <v>51</v>
      </c>
    </row>
    <row r="33">
      <c r="B33" s="3" t="s">
        <v>115</v>
      </c>
    </row>
    <row r="34">
      <c r="B34" s="3" t="s">
        <v>117</v>
      </c>
    </row>
    <row r="35">
      <c r="B35" s="3" t="s">
        <v>119</v>
      </c>
    </row>
    <row r="36">
      <c r="B36" s="3" t="s">
        <v>121</v>
      </c>
    </row>
    <row r="37">
      <c r="B37" s="3" t="s">
        <v>122</v>
      </c>
    </row>
    <row r="38">
      <c r="B38" s="3" t="s">
        <v>124</v>
      </c>
    </row>
    <row r="39">
      <c r="B39" s="3" t="s">
        <v>126</v>
      </c>
    </row>
    <row r="40">
      <c r="B40" s="3" t="s">
        <v>128</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1</v>
      </c>
      <c r="B1" s="2" t="s">
        <v>4</v>
      </c>
    </row>
    <row r="2">
      <c r="A2" s="2">
        <v>1.0</v>
      </c>
      <c r="B2" s="2" t="s">
        <v>139</v>
      </c>
    </row>
    <row r="3">
      <c r="A3" s="2">
        <v>2.0</v>
      </c>
      <c r="B3" s="2" t="s">
        <v>140</v>
      </c>
    </row>
    <row r="4">
      <c r="A4" s="2">
        <v>3.0</v>
      </c>
      <c r="B4" s="2" t="s">
        <v>142</v>
      </c>
    </row>
    <row r="5">
      <c r="A5" s="2">
        <v>4.0</v>
      </c>
      <c r="B5" s="2" t="s">
        <v>143</v>
      </c>
    </row>
    <row r="6">
      <c r="A6" s="2">
        <v>5.0</v>
      </c>
      <c r="B6" s="2" t="s">
        <v>146</v>
      </c>
    </row>
    <row r="7">
      <c r="A7" s="2">
        <v>6.0</v>
      </c>
      <c r="B7" s="2" t="s">
        <v>148</v>
      </c>
    </row>
    <row r="8">
      <c r="A8" s="2">
        <v>7.0</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1</v>
      </c>
      <c r="B1" s="2" t="s">
        <v>4</v>
      </c>
    </row>
    <row r="2">
      <c r="A2" s="2" t="s">
        <v>145</v>
      </c>
      <c r="B2" s="2">
        <v>1.0</v>
      </c>
    </row>
    <row r="3">
      <c r="A3" s="2" t="s">
        <v>147</v>
      </c>
      <c r="B3" s="2">
        <v>2.0</v>
      </c>
    </row>
    <row r="4">
      <c r="A4" s="2" t="s">
        <v>149</v>
      </c>
      <c r="B4" s="2">
        <v>3.0</v>
      </c>
    </row>
    <row r="5">
      <c r="A5" s="2" t="s">
        <v>150</v>
      </c>
      <c r="B5" s="2">
        <v>4.0</v>
      </c>
    </row>
    <row r="6">
      <c r="A6" s="2" t="s">
        <v>151</v>
      </c>
      <c r="B6" s="2">
        <v>5.0</v>
      </c>
    </row>
    <row r="7">
      <c r="A7" s="2" t="s">
        <v>152</v>
      </c>
      <c r="B7" s="2">
        <v>6.0</v>
      </c>
    </row>
    <row r="8">
      <c r="A8" s="2" t="s">
        <v>153</v>
      </c>
      <c r="B8" s="2">
        <v>7.0</v>
      </c>
    </row>
    <row r="9">
      <c r="A9" s="2" t="s">
        <v>154</v>
      </c>
      <c r="B9" s="2">
        <v>8.0</v>
      </c>
    </row>
    <row r="10">
      <c r="A10" s="2" t="s">
        <v>156</v>
      </c>
      <c r="B10" s="2">
        <v>9.0</v>
      </c>
    </row>
    <row r="11">
      <c r="A11" s="2" t="s">
        <v>157</v>
      </c>
      <c r="B11" s="2">
        <v>10.0</v>
      </c>
    </row>
    <row r="12">
      <c r="A12" s="2" t="s">
        <v>158</v>
      </c>
      <c r="B12" s="2">
        <v>11.0</v>
      </c>
    </row>
    <row r="13">
      <c r="A13" s="2" t="s">
        <v>159</v>
      </c>
      <c r="B13" s="2">
        <v>12.0</v>
      </c>
    </row>
    <row r="14">
      <c r="A14" s="2" t="s">
        <v>161</v>
      </c>
      <c r="B14" s="2">
        <v>13.0</v>
      </c>
    </row>
    <row r="15">
      <c r="A15" s="2" t="s">
        <v>163</v>
      </c>
      <c r="B15" s="2">
        <v>14.0</v>
      </c>
    </row>
    <row r="16">
      <c r="A16" s="2" t="s">
        <v>165</v>
      </c>
      <c r="B16" s="2">
        <v>15.0</v>
      </c>
    </row>
    <row r="17">
      <c r="A17" s="2" t="s">
        <v>166</v>
      </c>
      <c r="B17" s="2">
        <v>16.0</v>
      </c>
    </row>
    <row r="18">
      <c r="A18" s="2" t="s">
        <v>169</v>
      </c>
      <c r="B18" s="2">
        <v>17.0</v>
      </c>
    </row>
    <row r="19">
      <c r="A19" s="2" t="s">
        <v>170</v>
      </c>
      <c r="B19" s="2">
        <v>18.0</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160</v>
      </c>
      <c r="B1" s="3" t="s">
        <v>162</v>
      </c>
      <c r="C1" s="3" t="s">
        <v>164</v>
      </c>
    </row>
    <row r="2">
      <c r="A2" s="3" t="s">
        <v>167</v>
      </c>
      <c r="B2" s="3" t="s">
        <v>168</v>
      </c>
      <c r="C2" s="3" t="b">
        <v>0</v>
      </c>
    </row>
    <row r="3">
      <c r="A3" s="3" t="s">
        <v>171</v>
      </c>
      <c r="B3" s="3" t="s">
        <v>168</v>
      </c>
      <c r="C3" s="3" t="b">
        <v>0</v>
      </c>
    </row>
    <row r="4">
      <c r="A4" s="3" t="s">
        <v>172</v>
      </c>
      <c r="B4" s="3" t="s">
        <v>173</v>
      </c>
      <c r="C4" s="3" t="b">
        <v>0</v>
      </c>
    </row>
    <row r="5">
      <c r="A5" s="3" t="s">
        <v>174</v>
      </c>
      <c r="B5" s="3" t="s">
        <v>173</v>
      </c>
      <c r="C5" s="3" t="b">
        <v>0</v>
      </c>
    </row>
    <row r="6">
      <c r="A6" s="3" t="s">
        <v>175</v>
      </c>
      <c r="B6" s="3" t="s">
        <v>173</v>
      </c>
      <c r="C6" s="3" t="b">
        <v>0</v>
      </c>
    </row>
    <row r="7">
      <c r="A7" s="3" t="s">
        <v>176</v>
      </c>
      <c r="B7" s="3" t="s">
        <v>173</v>
      </c>
      <c r="C7" s="3" t="b">
        <v>0</v>
      </c>
    </row>
    <row r="8">
      <c r="A8" s="3" t="s">
        <v>177</v>
      </c>
      <c r="B8" s="3" t="s">
        <v>178</v>
      </c>
      <c r="C8" s="3" t="b">
        <v>0</v>
      </c>
    </row>
    <row r="9">
      <c r="A9" s="3" t="s">
        <v>179</v>
      </c>
      <c r="B9" s="3" t="s">
        <v>178</v>
      </c>
      <c r="C9" s="3" t="b">
        <v>0</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188</v>
      </c>
      <c r="B1" s="2" t="s">
        <v>189</v>
      </c>
      <c r="C1" s="2" t="s">
        <v>190</v>
      </c>
      <c r="D1" s="2" t="s">
        <v>191</v>
      </c>
      <c r="E1" s="2" t="s">
        <v>192</v>
      </c>
      <c r="F1" s="2" t="s">
        <v>193</v>
      </c>
      <c r="G1" s="2" t="s">
        <v>194</v>
      </c>
      <c r="H1" s="2" t="s">
        <v>195</v>
      </c>
      <c r="I1" s="2" t="s">
        <v>196</v>
      </c>
      <c r="J1" s="2" t="s">
        <v>197</v>
      </c>
      <c r="K1" s="2" t="s">
        <v>198</v>
      </c>
      <c r="L1" s="2" t="s">
        <v>199</v>
      </c>
      <c r="M1" s="2" t="s">
        <v>200</v>
      </c>
      <c r="N1" s="2" t="s">
        <v>201</v>
      </c>
      <c r="O1" s="2" t="s">
        <v>202</v>
      </c>
      <c r="P1" s="2" t="s">
        <v>203</v>
      </c>
      <c r="Q1" s="2" t="s">
        <v>204</v>
      </c>
      <c r="R1" s="2" t="s">
        <v>205</v>
      </c>
      <c r="S1" s="2" t="s">
        <v>206</v>
      </c>
      <c r="T1" s="2" t="s">
        <v>207</v>
      </c>
      <c r="U1" s="2" t="s">
        <v>209</v>
      </c>
      <c r="V1" s="2" t="s">
        <v>210</v>
      </c>
      <c r="W1" s="2" t="s">
        <v>211</v>
      </c>
      <c r="X1" s="2" t="s">
        <v>213</v>
      </c>
      <c r="Y1" s="2" t="s">
        <v>215</v>
      </c>
      <c r="Z1" s="2" t="s">
        <v>216</v>
      </c>
      <c r="AA1" s="2" t="s">
        <v>217</v>
      </c>
      <c r="AB1" s="2" t="s">
        <v>218</v>
      </c>
      <c r="AC1" s="2" t="s">
        <v>219</v>
      </c>
    </row>
    <row r="2">
      <c r="A2" s="2" t="s">
        <v>220</v>
      </c>
      <c r="B2" s="2" t="s">
        <v>221</v>
      </c>
      <c r="C2" s="2" t="s">
        <v>223</v>
      </c>
      <c r="D2" s="8">
        <v>0.0</v>
      </c>
      <c r="E2" s="8">
        <v>1.0</v>
      </c>
      <c r="F2" s="8">
        <v>2.0</v>
      </c>
      <c r="G2" s="2" t="s">
        <v>224</v>
      </c>
      <c r="H2" s="2" t="s">
        <v>225</v>
      </c>
      <c r="I2" s="2" t="s">
        <v>226</v>
      </c>
      <c r="J2" s="2" t="s">
        <v>227</v>
      </c>
      <c r="K2" s="2" t="s">
        <v>228</v>
      </c>
      <c r="L2" s="2" t="s">
        <v>228</v>
      </c>
      <c r="M2" s="2" t="s">
        <v>229</v>
      </c>
      <c r="N2" s="2" t="b">
        <v>1</v>
      </c>
      <c r="O2" s="2" t="s">
        <v>228</v>
      </c>
      <c r="P2" s="2" t="b">
        <v>0</v>
      </c>
      <c r="R2" s="2" t="b">
        <v>0</v>
      </c>
      <c r="S2" s="2" t="b">
        <v>0</v>
      </c>
      <c r="X2" s="2" t="b">
        <v>0</v>
      </c>
      <c r="AA2" s="2" t="b">
        <v>0</v>
      </c>
    </row>
  </sheetData>
  <drawing r:id="rId1"/>
</worksheet>
</file>